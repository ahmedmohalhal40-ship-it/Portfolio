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tc\OneDrive\Desktop\شغل\"/>
    </mc:Choice>
  </mc:AlternateContent>
  <xr:revisionPtr revIDLastSave="0" documentId="13_ncr:1_{F477E8D9-6A8A-4AA3-AD4A-A97B1127E16C}" xr6:coauthVersionLast="47" xr6:coauthVersionMax="47" xr10:uidLastSave="{00000000-0000-0000-0000-000000000000}"/>
  <bookViews>
    <workbookView xWindow="-120" yWindow="-120" windowWidth="20730" windowHeight="11040" tabRatio="985" xr2:uid="{C8255D34-19BF-4605-8DDB-FCCCBCCDCFC7}"/>
  </bookViews>
  <sheets>
    <sheet name="Annual_Report" sheetId="80" r:id="rId1"/>
    <sheet name="January" sheetId="81" r:id="rId2"/>
    <sheet name="February" sheetId="82" r:id="rId3"/>
    <sheet name="March" sheetId="83" r:id="rId4"/>
    <sheet name="April" sheetId="84" r:id="rId5"/>
    <sheet name="May" sheetId="85" r:id="rId6"/>
    <sheet name="June" sheetId="86" r:id="rId7"/>
    <sheet name="July" sheetId="87" r:id="rId8"/>
    <sheet name="August" sheetId="88" r:id="rId9"/>
    <sheet name="September" sheetId="89" r:id="rId10"/>
    <sheet name="October" sheetId="90" r:id="rId11"/>
    <sheet name="November" sheetId="91" r:id="rId12"/>
    <sheet name="December" sheetId="92" r:id="rId13"/>
    <sheet name="Dashboard" sheetId="9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94" l="1"/>
  <c r="C9" i="94"/>
  <c r="C8" i="94"/>
  <c r="C7" i="94"/>
  <c r="F101" i="80"/>
  <c r="E101" i="80"/>
  <c r="D101" i="80"/>
  <c r="C101" i="80"/>
  <c r="F100" i="80"/>
  <c r="E100" i="80"/>
  <c r="D100" i="80"/>
  <c r="C100" i="80"/>
  <c r="F99" i="80"/>
  <c r="E99" i="80"/>
  <c r="D99" i="80"/>
  <c r="C99" i="80"/>
  <c r="F98" i="80"/>
  <c r="E98" i="80"/>
  <c r="D98" i="80"/>
  <c r="C98" i="80"/>
  <c r="F97" i="80"/>
  <c r="E97" i="80"/>
  <c r="D97" i="80"/>
  <c r="C97" i="80"/>
  <c r="F96" i="80"/>
  <c r="E96" i="80"/>
  <c r="D96" i="80"/>
  <c r="C96" i="80"/>
  <c r="F95" i="80"/>
  <c r="E95" i="80"/>
  <c r="D95" i="80"/>
  <c r="C95" i="80"/>
  <c r="F94" i="80"/>
  <c r="E94" i="80"/>
  <c r="D94" i="80"/>
  <c r="C94" i="80"/>
  <c r="F93" i="80"/>
  <c r="E93" i="80"/>
  <c r="D93" i="80"/>
  <c r="C93" i="80"/>
  <c r="F92" i="80"/>
  <c r="E92" i="80"/>
  <c r="D92" i="80"/>
  <c r="C92" i="80"/>
  <c r="F91" i="80"/>
  <c r="E91" i="80"/>
  <c r="D91" i="80"/>
  <c r="C91" i="80"/>
  <c r="F90" i="80"/>
  <c r="E90" i="80"/>
  <c r="D90" i="80"/>
  <c r="C90" i="80"/>
  <c r="F89" i="80"/>
  <c r="E89" i="80"/>
  <c r="D89" i="80"/>
  <c r="C89" i="80"/>
  <c r="F88" i="80"/>
  <c r="E88" i="80"/>
  <c r="D88" i="80"/>
  <c r="C88" i="80"/>
  <c r="F87" i="80"/>
  <c r="E87" i="80"/>
  <c r="D87" i="80"/>
  <c r="C87" i="80"/>
  <c r="F86" i="80"/>
  <c r="E86" i="80"/>
  <c r="D86" i="80"/>
  <c r="C86" i="80"/>
  <c r="F85" i="80"/>
  <c r="E85" i="80"/>
  <c r="D85" i="80"/>
  <c r="C85" i="80"/>
  <c r="F84" i="80"/>
  <c r="E84" i="80"/>
  <c r="D84" i="80"/>
  <c r="C84" i="80"/>
  <c r="F83" i="80"/>
  <c r="E83" i="80"/>
  <c r="D83" i="80"/>
  <c r="C83" i="80"/>
  <c r="F82" i="80"/>
  <c r="E82" i="80"/>
  <c r="D82" i="80"/>
  <c r="C82" i="80"/>
  <c r="F81" i="80"/>
  <c r="E81" i="80"/>
  <c r="D81" i="80"/>
  <c r="C81" i="80"/>
  <c r="F80" i="80"/>
  <c r="E80" i="80"/>
  <c r="D80" i="80"/>
  <c r="C80" i="80"/>
  <c r="F79" i="80"/>
  <c r="E79" i="80"/>
  <c r="D79" i="80"/>
  <c r="C79" i="80"/>
  <c r="F78" i="80"/>
  <c r="E78" i="80"/>
  <c r="D78" i="80"/>
  <c r="C78" i="80"/>
  <c r="F77" i="80"/>
  <c r="E77" i="80"/>
  <c r="D77" i="80"/>
  <c r="C77" i="80"/>
  <c r="F76" i="80"/>
  <c r="E76" i="80"/>
  <c r="D76" i="80"/>
  <c r="C76" i="80"/>
  <c r="F75" i="80"/>
  <c r="E75" i="80"/>
  <c r="D75" i="80"/>
  <c r="C75" i="80"/>
  <c r="F74" i="80"/>
  <c r="E74" i="80"/>
  <c r="D74" i="80"/>
  <c r="C74" i="80"/>
  <c r="F73" i="80"/>
  <c r="E73" i="80"/>
  <c r="D73" i="80"/>
  <c r="C73" i="80"/>
  <c r="F72" i="80"/>
  <c r="E72" i="80"/>
  <c r="D72" i="80"/>
  <c r="C72" i="80"/>
  <c r="F71" i="80"/>
  <c r="E71" i="80"/>
  <c r="D71" i="80"/>
  <c r="C71" i="80"/>
  <c r="F70" i="80"/>
  <c r="E70" i="80"/>
  <c r="D70" i="80"/>
  <c r="C70" i="80"/>
  <c r="F69" i="80"/>
  <c r="E69" i="80"/>
  <c r="D69" i="80"/>
  <c r="C69" i="80"/>
  <c r="F68" i="80"/>
  <c r="E68" i="80"/>
  <c r="D68" i="80"/>
  <c r="C68" i="80"/>
  <c r="F67" i="80"/>
  <c r="E67" i="80"/>
  <c r="D67" i="80"/>
  <c r="C67" i="80"/>
  <c r="F66" i="80"/>
  <c r="E66" i="80"/>
  <c r="D66" i="80"/>
  <c r="C66" i="80"/>
  <c r="F65" i="80"/>
  <c r="E65" i="80"/>
  <c r="D65" i="80"/>
  <c r="C65" i="80"/>
  <c r="F64" i="80"/>
  <c r="E64" i="80"/>
  <c r="D64" i="80"/>
  <c r="C64" i="80"/>
  <c r="F63" i="80"/>
  <c r="E63" i="80"/>
  <c r="D63" i="80"/>
  <c r="C63" i="80"/>
  <c r="F62" i="80"/>
  <c r="E62" i="80"/>
  <c r="D62" i="80"/>
  <c r="C62" i="80"/>
  <c r="F61" i="80"/>
  <c r="E61" i="80"/>
  <c r="D61" i="80"/>
  <c r="C61" i="80"/>
  <c r="F60" i="80"/>
  <c r="E60" i="80"/>
  <c r="D60" i="80"/>
  <c r="C60" i="80"/>
  <c r="F59" i="80"/>
  <c r="E59" i="80"/>
  <c r="D59" i="80"/>
  <c r="C59" i="80"/>
  <c r="F58" i="80"/>
  <c r="E58" i="80"/>
  <c r="D58" i="80"/>
  <c r="C58" i="80"/>
  <c r="F57" i="80"/>
  <c r="E57" i="80"/>
  <c r="D57" i="80"/>
  <c r="C57" i="80"/>
  <c r="F56" i="80"/>
  <c r="E56" i="80"/>
  <c r="D56" i="80"/>
  <c r="C56" i="80"/>
  <c r="F55" i="80"/>
  <c r="E55" i="80"/>
  <c r="D55" i="80"/>
  <c r="C55" i="80"/>
  <c r="F54" i="80"/>
  <c r="E54" i="80"/>
  <c r="D54" i="80"/>
  <c r="C54" i="80"/>
  <c r="F53" i="80"/>
  <c r="E53" i="80"/>
  <c r="D53" i="80"/>
  <c r="C53" i="80"/>
  <c r="F52" i="80"/>
  <c r="E52" i="80"/>
  <c r="D52" i="80"/>
  <c r="C52" i="80"/>
  <c r="F51" i="80"/>
  <c r="E51" i="80"/>
  <c r="D51" i="80"/>
  <c r="C51" i="80"/>
  <c r="F50" i="80"/>
  <c r="E50" i="80"/>
  <c r="D50" i="80"/>
  <c r="C50" i="80"/>
  <c r="F49" i="80"/>
  <c r="E49" i="80"/>
  <c r="D49" i="80"/>
  <c r="C49" i="80"/>
  <c r="F48" i="80"/>
  <c r="E48" i="80"/>
  <c r="D48" i="80"/>
  <c r="C48" i="80"/>
  <c r="F47" i="80"/>
  <c r="E47" i="80"/>
  <c r="D47" i="80"/>
  <c r="C47" i="80"/>
  <c r="F46" i="80"/>
  <c r="E46" i="80"/>
  <c r="D46" i="80"/>
  <c r="C46" i="80"/>
  <c r="F45" i="80"/>
  <c r="E45" i="80"/>
  <c r="D45" i="80"/>
  <c r="C45" i="80"/>
  <c r="F44" i="80"/>
  <c r="E44" i="80"/>
  <c r="D44" i="80"/>
  <c r="C44" i="80"/>
  <c r="F43" i="80"/>
  <c r="E43" i="80"/>
  <c r="D43" i="80"/>
  <c r="C43" i="80"/>
  <c r="F42" i="80"/>
  <c r="E42" i="80"/>
  <c r="D42" i="80"/>
  <c r="C42" i="80"/>
  <c r="F41" i="80"/>
  <c r="E41" i="80"/>
  <c r="D41" i="80"/>
  <c r="C41" i="80"/>
  <c r="F40" i="80"/>
  <c r="E40" i="80"/>
  <c r="D40" i="80"/>
  <c r="C40" i="80"/>
  <c r="F39" i="80"/>
  <c r="E39" i="80"/>
  <c r="D39" i="80"/>
  <c r="C39" i="80"/>
  <c r="F38" i="80"/>
  <c r="E38" i="80"/>
  <c r="D38" i="80"/>
  <c r="C38" i="80"/>
  <c r="F37" i="80"/>
  <c r="E37" i="80"/>
  <c r="D37" i="80"/>
  <c r="C37" i="80"/>
  <c r="F36" i="80"/>
  <c r="E36" i="80"/>
  <c r="D36" i="80"/>
  <c r="C36" i="80"/>
  <c r="F35" i="80"/>
  <c r="E35" i="80"/>
  <c r="D35" i="80"/>
  <c r="C35" i="80"/>
  <c r="F34" i="80"/>
  <c r="E34" i="80"/>
  <c r="D34" i="80"/>
  <c r="C34" i="80"/>
  <c r="F33" i="80"/>
  <c r="E33" i="80"/>
  <c r="D33" i="80"/>
  <c r="C33" i="80"/>
  <c r="F32" i="80"/>
  <c r="E32" i="80"/>
  <c r="D32" i="80"/>
  <c r="C32" i="80"/>
  <c r="F31" i="80"/>
  <c r="E31" i="80"/>
  <c r="D31" i="80"/>
  <c r="C31" i="80"/>
  <c r="F30" i="80"/>
  <c r="E30" i="80"/>
  <c r="D30" i="80"/>
  <c r="C30" i="80"/>
  <c r="F29" i="80"/>
  <c r="E29" i="80"/>
  <c r="D29" i="80"/>
  <c r="C29" i="80"/>
  <c r="F28" i="80"/>
  <c r="E28" i="80"/>
  <c r="D28" i="80"/>
  <c r="C28" i="80"/>
  <c r="F27" i="80"/>
  <c r="E27" i="80"/>
  <c r="D27" i="80"/>
  <c r="C27" i="80"/>
  <c r="F26" i="80"/>
  <c r="E26" i="80"/>
  <c r="D26" i="80"/>
  <c r="C26" i="80"/>
  <c r="F25" i="80"/>
  <c r="E25" i="80"/>
  <c r="D25" i="80"/>
  <c r="C25" i="80"/>
  <c r="F24" i="80"/>
  <c r="E24" i="80"/>
  <c r="D24" i="80"/>
  <c r="C24" i="80"/>
  <c r="F23" i="80"/>
  <c r="E23" i="80"/>
  <c r="D23" i="80"/>
  <c r="C23" i="80"/>
  <c r="F22" i="80"/>
  <c r="E22" i="80"/>
  <c r="D22" i="80"/>
  <c r="C22" i="80"/>
  <c r="F21" i="80"/>
  <c r="E21" i="80"/>
  <c r="D21" i="80"/>
  <c r="C21" i="80"/>
  <c r="F20" i="80"/>
  <c r="E20" i="80"/>
  <c r="D20" i="80"/>
  <c r="C20" i="80"/>
  <c r="F19" i="80"/>
  <c r="E19" i="80"/>
  <c r="D19" i="80"/>
  <c r="C19" i="80"/>
  <c r="F18" i="80"/>
  <c r="E18" i="80"/>
  <c r="D18" i="80"/>
  <c r="C18" i="80"/>
  <c r="F17" i="80"/>
  <c r="E17" i="80"/>
  <c r="D17" i="80"/>
  <c r="C17" i="80"/>
  <c r="F16" i="80"/>
  <c r="E16" i="80"/>
  <c r="D16" i="80"/>
  <c r="C16" i="80"/>
  <c r="F15" i="80"/>
  <c r="E15" i="80"/>
  <c r="D15" i="80"/>
  <c r="C15" i="80"/>
  <c r="F14" i="80"/>
  <c r="E14" i="80"/>
  <c r="D14" i="80"/>
  <c r="C14" i="80"/>
  <c r="F13" i="80"/>
  <c r="E13" i="80"/>
  <c r="D13" i="80"/>
  <c r="C13" i="80"/>
  <c r="F12" i="80"/>
  <c r="E12" i="80"/>
  <c r="D12" i="80"/>
  <c r="C12" i="80"/>
  <c r="F11" i="80"/>
  <c r="E11" i="80"/>
  <c r="D11" i="80"/>
  <c r="C11" i="80"/>
  <c r="F10" i="80"/>
  <c r="E10" i="80"/>
  <c r="D10" i="80"/>
  <c r="C10" i="80"/>
  <c r="F9" i="80"/>
  <c r="E9" i="80"/>
  <c r="D9" i="80"/>
  <c r="C9" i="80"/>
  <c r="F8" i="80"/>
  <c r="E8" i="80"/>
  <c r="D8" i="80"/>
  <c r="C8" i="80"/>
  <c r="F7" i="80"/>
  <c r="E7" i="80"/>
  <c r="D7" i="80"/>
  <c r="C7" i="80"/>
  <c r="F6" i="80"/>
  <c r="E6" i="80"/>
  <c r="D6" i="80"/>
  <c r="C6" i="80"/>
  <c r="F5" i="80"/>
  <c r="E5" i="80"/>
  <c r="D5" i="80"/>
  <c r="C5" i="80"/>
  <c r="AK6" i="92"/>
  <c r="AK7" i="92"/>
  <c r="AK8" i="92"/>
  <c r="AK9" i="92"/>
  <c r="AK10" i="92"/>
  <c r="AK11" i="92"/>
  <c r="AK12" i="92"/>
  <c r="AK13" i="92"/>
  <c r="AK14" i="92"/>
  <c r="AK15" i="92"/>
  <c r="AK16" i="92"/>
  <c r="AK17" i="92"/>
  <c r="AK18" i="92"/>
  <c r="AK19" i="92"/>
  <c r="AK20" i="92"/>
  <c r="AK21" i="92"/>
  <c r="AK22" i="92"/>
  <c r="AK23" i="92"/>
  <c r="AK24" i="92"/>
  <c r="AK25" i="92"/>
  <c r="AK26" i="92"/>
  <c r="AK27" i="92"/>
  <c r="AK28" i="92"/>
  <c r="AK29" i="92"/>
  <c r="AK30" i="92"/>
  <c r="AK31" i="92"/>
  <c r="AK32" i="92"/>
  <c r="AK33" i="92"/>
  <c r="AK34" i="92"/>
  <c r="AK35" i="92"/>
  <c r="AK36" i="92"/>
  <c r="AK37" i="92"/>
  <c r="AK38" i="92"/>
  <c r="AK39" i="92"/>
  <c r="AK40" i="92"/>
  <c r="AK41" i="92"/>
  <c r="AK42" i="92"/>
  <c r="AK43" i="92"/>
  <c r="AK44" i="92"/>
  <c r="AK45" i="92"/>
  <c r="AK46" i="92"/>
  <c r="AK47" i="92"/>
  <c r="AK48" i="92"/>
  <c r="AK49" i="92"/>
  <c r="AK50" i="92"/>
  <c r="AK51" i="92"/>
  <c r="AK52" i="92"/>
  <c r="AK53" i="92"/>
  <c r="AK54" i="92"/>
  <c r="AK55" i="92"/>
  <c r="AK56" i="92"/>
  <c r="AK57" i="92"/>
  <c r="AK58" i="92"/>
  <c r="AK59" i="92"/>
  <c r="AK60" i="92"/>
  <c r="AK61" i="92"/>
  <c r="AK62" i="92"/>
  <c r="AK63" i="92"/>
  <c r="AK64" i="92"/>
  <c r="AK65" i="92"/>
  <c r="AK66" i="92"/>
  <c r="AK67" i="92"/>
  <c r="AK68" i="92"/>
  <c r="AK69" i="92"/>
  <c r="AK70" i="92"/>
  <c r="AK71" i="92"/>
  <c r="AK72" i="92"/>
  <c r="AK73" i="92"/>
  <c r="AK74" i="92"/>
  <c r="AK75" i="92"/>
  <c r="AK76" i="92"/>
  <c r="AK77" i="92"/>
  <c r="AK78" i="92"/>
  <c r="AK79" i="92"/>
  <c r="AK80" i="92"/>
  <c r="AK81" i="92"/>
  <c r="AK82" i="92"/>
  <c r="AK83" i="92"/>
  <c r="AK84" i="92"/>
  <c r="AK85" i="92"/>
  <c r="AK86" i="92"/>
  <c r="AK87" i="92"/>
  <c r="AK88" i="92"/>
  <c r="AK89" i="92"/>
  <c r="AK90" i="92"/>
  <c r="AK91" i="92"/>
  <c r="AK92" i="92"/>
  <c r="AK93" i="92"/>
  <c r="AK94" i="92"/>
  <c r="AK95" i="92"/>
  <c r="AK96" i="92"/>
  <c r="AK97" i="92"/>
  <c r="AK98" i="92"/>
  <c r="AK99" i="92"/>
  <c r="AK100" i="92"/>
  <c r="AK101" i="92"/>
  <c r="AK102" i="92"/>
  <c r="AK103" i="92"/>
  <c r="AK104" i="92"/>
  <c r="AK105" i="92"/>
  <c r="AJ6" i="92"/>
  <c r="AJ7" i="92"/>
  <c r="AJ8" i="92"/>
  <c r="AJ9" i="92"/>
  <c r="AJ10" i="92"/>
  <c r="AJ11" i="92"/>
  <c r="AJ12" i="92"/>
  <c r="AJ13" i="92"/>
  <c r="AJ14" i="92"/>
  <c r="AJ15" i="92"/>
  <c r="AJ16" i="92"/>
  <c r="AJ17" i="92"/>
  <c r="AJ18" i="92"/>
  <c r="AJ19" i="92"/>
  <c r="AJ20" i="92"/>
  <c r="AJ21" i="92"/>
  <c r="AJ22" i="92"/>
  <c r="AJ23" i="92"/>
  <c r="AJ24" i="92"/>
  <c r="AJ25" i="92"/>
  <c r="AJ26" i="92"/>
  <c r="AJ27" i="92"/>
  <c r="AJ28" i="92"/>
  <c r="AJ29" i="92"/>
  <c r="AJ30" i="92"/>
  <c r="AJ31" i="92"/>
  <c r="AJ32" i="92"/>
  <c r="AJ33" i="92"/>
  <c r="AJ34" i="92"/>
  <c r="AJ35" i="92"/>
  <c r="AJ36" i="92"/>
  <c r="AJ37" i="92"/>
  <c r="AJ38" i="92"/>
  <c r="AJ39" i="92"/>
  <c r="AJ40" i="92"/>
  <c r="AJ41" i="92"/>
  <c r="AJ42" i="92"/>
  <c r="AJ43" i="92"/>
  <c r="AJ44" i="92"/>
  <c r="AJ45" i="92"/>
  <c r="AJ46" i="92"/>
  <c r="AJ47" i="92"/>
  <c r="AJ48" i="92"/>
  <c r="AJ49" i="92"/>
  <c r="AJ50" i="92"/>
  <c r="AJ51" i="92"/>
  <c r="AJ52" i="92"/>
  <c r="AJ53" i="92"/>
  <c r="AJ54" i="92"/>
  <c r="AJ55" i="92"/>
  <c r="AJ56" i="92"/>
  <c r="AJ57" i="92"/>
  <c r="AJ58" i="92"/>
  <c r="AJ59" i="92"/>
  <c r="AJ60" i="92"/>
  <c r="AJ61" i="92"/>
  <c r="AJ62" i="92"/>
  <c r="AJ63" i="92"/>
  <c r="AJ64" i="92"/>
  <c r="AJ65" i="92"/>
  <c r="AJ66" i="92"/>
  <c r="AJ67" i="92"/>
  <c r="AJ68" i="92"/>
  <c r="AJ69" i="92"/>
  <c r="AJ70" i="92"/>
  <c r="AJ71" i="92"/>
  <c r="AJ72" i="92"/>
  <c r="AJ73" i="92"/>
  <c r="AJ74" i="92"/>
  <c r="AJ75" i="92"/>
  <c r="AJ76" i="92"/>
  <c r="AJ77" i="92"/>
  <c r="AJ78" i="92"/>
  <c r="AJ79" i="92"/>
  <c r="AJ80" i="92"/>
  <c r="AJ81" i="92"/>
  <c r="AJ82" i="92"/>
  <c r="AJ83" i="92"/>
  <c r="AJ84" i="92"/>
  <c r="AJ85" i="92"/>
  <c r="AJ86" i="92"/>
  <c r="AJ87" i="92"/>
  <c r="AJ88" i="92"/>
  <c r="AJ89" i="92"/>
  <c r="AJ90" i="92"/>
  <c r="AJ91" i="92"/>
  <c r="AJ92" i="92"/>
  <c r="AJ93" i="92"/>
  <c r="AJ94" i="92"/>
  <c r="AJ95" i="92"/>
  <c r="AJ96" i="92"/>
  <c r="AJ97" i="92"/>
  <c r="AJ98" i="92"/>
  <c r="AJ99" i="92"/>
  <c r="AJ100" i="92"/>
  <c r="AJ101" i="92"/>
  <c r="AJ102" i="92"/>
  <c r="AJ103" i="92"/>
  <c r="AJ104" i="92"/>
  <c r="AJ105" i="92"/>
  <c r="AI6" i="92"/>
  <c r="AI7" i="92"/>
  <c r="AI8" i="92"/>
  <c r="AI9" i="92"/>
  <c r="AI10" i="92"/>
  <c r="AI11" i="92"/>
  <c r="AI12" i="92"/>
  <c r="AI13" i="92"/>
  <c r="AI14" i="92"/>
  <c r="AI15" i="92"/>
  <c r="AI16" i="92"/>
  <c r="AI17" i="92"/>
  <c r="AI18" i="92"/>
  <c r="AI19" i="92"/>
  <c r="AI20" i="92"/>
  <c r="AI21" i="92"/>
  <c r="AI22" i="92"/>
  <c r="AI23" i="92"/>
  <c r="AI24" i="92"/>
  <c r="AI25" i="92"/>
  <c r="AI26" i="92"/>
  <c r="AI27" i="92"/>
  <c r="AI28" i="92"/>
  <c r="AI29" i="92"/>
  <c r="AI30" i="92"/>
  <c r="AI31" i="92"/>
  <c r="AI32" i="92"/>
  <c r="AI33" i="92"/>
  <c r="AI34" i="92"/>
  <c r="AI35" i="92"/>
  <c r="AI36" i="92"/>
  <c r="AI37" i="92"/>
  <c r="AI38" i="92"/>
  <c r="AI39" i="92"/>
  <c r="AI40" i="92"/>
  <c r="AI41" i="92"/>
  <c r="AI42" i="92"/>
  <c r="AI43" i="92"/>
  <c r="AI44" i="92"/>
  <c r="AI45" i="92"/>
  <c r="AI46" i="92"/>
  <c r="AI47" i="92"/>
  <c r="AI48" i="92"/>
  <c r="AI49" i="92"/>
  <c r="AI50" i="92"/>
  <c r="AI51" i="92"/>
  <c r="AI52" i="92"/>
  <c r="AI53" i="92"/>
  <c r="AI54" i="92"/>
  <c r="AI55" i="92"/>
  <c r="AI56" i="92"/>
  <c r="AI57" i="92"/>
  <c r="AI58" i="92"/>
  <c r="AI59" i="92"/>
  <c r="AI60" i="92"/>
  <c r="AI61" i="92"/>
  <c r="AI62" i="92"/>
  <c r="AI63" i="92"/>
  <c r="AI64" i="92"/>
  <c r="AI65" i="92"/>
  <c r="AI66" i="92"/>
  <c r="AI67" i="92"/>
  <c r="AI68" i="92"/>
  <c r="AI69" i="92"/>
  <c r="AI70" i="92"/>
  <c r="AI71" i="92"/>
  <c r="AI72" i="92"/>
  <c r="AI73" i="92"/>
  <c r="AI74" i="92"/>
  <c r="AI75" i="92"/>
  <c r="AI76" i="92"/>
  <c r="AI77" i="92"/>
  <c r="AI78" i="92"/>
  <c r="AI79" i="92"/>
  <c r="AI80" i="92"/>
  <c r="AI81" i="92"/>
  <c r="AI82" i="92"/>
  <c r="AI83" i="92"/>
  <c r="AI84" i="92"/>
  <c r="AI85" i="92"/>
  <c r="AI86" i="92"/>
  <c r="AI87" i="92"/>
  <c r="AI88" i="92"/>
  <c r="AI89" i="92"/>
  <c r="AI90" i="92"/>
  <c r="AI91" i="92"/>
  <c r="AI92" i="92"/>
  <c r="AI93" i="92"/>
  <c r="AI94" i="92"/>
  <c r="AI95" i="92"/>
  <c r="AI96" i="92"/>
  <c r="AI97" i="92"/>
  <c r="AI98" i="92"/>
  <c r="AI99" i="92"/>
  <c r="AI100" i="92"/>
  <c r="AI101" i="92"/>
  <c r="AI102" i="92"/>
  <c r="AI103" i="92"/>
  <c r="AI104" i="92"/>
  <c r="AI105" i="92"/>
  <c r="AH6" i="92"/>
  <c r="AH7" i="92"/>
  <c r="AH8" i="92"/>
  <c r="AH9" i="92"/>
  <c r="AH10" i="92"/>
  <c r="AH11" i="92"/>
  <c r="AH12" i="92"/>
  <c r="AH13" i="92"/>
  <c r="AH14" i="92"/>
  <c r="AH15" i="92"/>
  <c r="AH16" i="92"/>
  <c r="AH17" i="92"/>
  <c r="AH18" i="92"/>
  <c r="AH19" i="92"/>
  <c r="AH20" i="92"/>
  <c r="AH21" i="92"/>
  <c r="AH22" i="92"/>
  <c r="AH23" i="92"/>
  <c r="AH24" i="92"/>
  <c r="AH25" i="92"/>
  <c r="AH26" i="92"/>
  <c r="AH27" i="92"/>
  <c r="AH28" i="92"/>
  <c r="AH29" i="92"/>
  <c r="AH30" i="92"/>
  <c r="AH31" i="92"/>
  <c r="AH32" i="92"/>
  <c r="AH33" i="92"/>
  <c r="AH34" i="92"/>
  <c r="AH35" i="92"/>
  <c r="AH36" i="92"/>
  <c r="AH37" i="92"/>
  <c r="AH38" i="92"/>
  <c r="AH39" i="92"/>
  <c r="AH40" i="92"/>
  <c r="AH41" i="92"/>
  <c r="AH42" i="92"/>
  <c r="AH43" i="92"/>
  <c r="AH44" i="92"/>
  <c r="AH45" i="92"/>
  <c r="AH46" i="92"/>
  <c r="AH47" i="92"/>
  <c r="AH48" i="92"/>
  <c r="AH49" i="92"/>
  <c r="AH50" i="92"/>
  <c r="AH51" i="92"/>
  <c r="AH52" i="92"/>
  <c r="AH53" i="92"/>
  <c r="AH54" i="92"/>
  <c r="AH55" i="92"/>
  <c r="AH56" i="92"/>
  <c r="AH57" i="92"/>
  <c r="AH58" i="92"/>
  <c r="AH59" i="92"/>
  <c r="AH60" i="92"/>
  <c r="AH61" i="92"/>
  <c r="AH62" i="92"/>
  <c r="AH63" i="92"/>
  <c r="AH64" i="92"/>
  <c r="AH65" i="92"/>
  <c r="AH66" i="92"/>
  <c r="AH67" i="92"/>
  <c r="AH68" i="92"/>
  <c r="AH69" i="92"/>
  <c r="AH70" i="92"/>
  <c r="AH71" i="92"/>
  <c r="AH72" i="92"/>
  <c r="AH73" i="92"/>
  <c r="AH74" i="92"/>
  <c r="AH75" i="92"/>
  <c r="AH76" i="92"/>
  <c r="AH77" i="92"/>
  <c r="AH78" i="92"/>
  <c r="AH79" i="92"/>
  <c r="AH80" i="92"/>
  <c r="AH81" i="92"/>
  <c r="AH82" i="92"/>
  <c r="AH83" i="92"/>
  <c r="AH84" i="92"/>
  <c r="AH85" i="92"/>
  <c r="AH86" i="92"/>
  <c r="AH87" i="92"/>
  <c r="AH88" i="92"/>
  <c r="AH89" i="92"/>
  <c r="AH90" i="92"/>
  <c r="AH91" i="92"/>
  <c r="AH92" i="92"/>
  <c r="AH93" i="92"/>
  <c r="AH94" i="92"/>
  <c r="AH95" i="92"/>
  <c r="AH96" i="92"/>
  <c r="AH97" i="92"/>
  <c r="AH98" i="92"/>
  <c r="AH99" i="92"/>
  <c r="AH100" i="92"/>
  <c r="AH101" i="92"/>
  <c r="AH102" i="92"/>
  <c r="AH103" i="92"/>
  <c r="AH104" i="92"/>
  <c r="AH105" i="92"/>
  <c r="AK6" i="91"/>
  <c r="AK7" i="91"/>
  <c r="AK8" i="91"/>
  <c r="AK9" i="91"/>
  <c r="AK10" i="91"/>
  <c r="AK11" i="91"/>
  <c r="AK12" i="91"/>
  <c r="AK13" i="91"/>
  <c r="AK14" i="91"/>
  <c r="AK15" i="91"/>
  <c r="AK16" i="91"/>
  <c r="AK17" i="91"/>
  <c r="AK18" i="91"/>
  <c r="AK19" i="91"/>
  <c r="AK20" i="91"/>
  <c r="AK21" i="91"/>
  <c r="AK22" i="91"/>
  <c r="AK23" i="91"/>
  <c r="AK24" i="91"/>
  <c r="AK25" i="91"/>
  <c r="AK26" i="91"/>
  <c r="AK27" i="91"/>
  <c r="AK28" i="91"/>
  <c r="AK29" i="91"/>
  <c r="AK30" i="91"/>
  <c r="AK31" i="91"/>
  <c r="AK32" i="91"/>
  <c r="AK33" i="91"/>
  <c r="AK34" i="91"/>
  <c r="AK35" i="91"/>
  <c r="AK36" i="91"/>
  <c r="AK37" i="91"/>
  <c r="AK38" i="91"/>
  <c r="AK39" i="91"/>
  <c r="AK40" i="91"/>
  <c r="AK41" i="91"/>
  <c r="AK42" i="91"/>
  <c r="AK43" i="91"/>
  <c r="AK44" i="91"/>
  <c r="AK45" i="91"/>
  <c r="AK46" i="91"/>
  <c r="AK47" i="91"/>
  <c r="AK48" i="91"/>
  <c r="AK49" i="91"/>
  <c r="AK50" i="91"/>
  <c r="AK51" i="91"/>
  <c r="AK52" i="91"/>
  <c r="AK53" i="91"/>
  <c r="AK54" i="91"/>
  <c r="AK55" i="91"/>
  <c r="AK56" i="91"/>
  <c r="AK57" i="91"/>
  <c r="AK58" i="91"/>
  <c r="AK59" i="91"/>
  <c r="AK60" i="91"/>
  <c r="AK61" i="91"/>
  <c r="AK62" i="91"/>
  <c r="AK63" i="91"/>
  <c r="AK64" i="91"/>
  <c r="AK65" i="91"/>
  <c r="AK66" i="91"/>
  <c r="AK67" i="91"/>
  <c r="AK68" i="91"/>
  <c r="AK69" i="91"/>
  <c r="AK70" i="91"/>
  <c r="AK71" i="91"/>
  <c r="AK72" i="91"/>
  <c r="AK73" i="91"/>
  <c r="AK74" i="91"/>
  <c r="AK75" i="91"/>
  <c r="AK76" i="91"/>
  <c r="AK77" i="91"/>
  <c r="AK78" i="91"/>
  <c r="AK79" i="91"/>
  <c r="AK80" i="91"/>
  <c r="AK81" i="91"/>
  <c r="AK82" i="91"/>
  <c r="AK83" i="91"/>
  <c r="AK84" i="91"/>
  <c r="AK85" i="91"/>
  <c r="AK86" i="91"/>
  <c r="AK87" i="91"/>
  <c r="AK88" i="91"/>
  <c r="AK89" i="91"/>
  <c r="AK90" i="91"/>
  <c r="AK91" i="91"/>
  <c r="AK92" i="91"/>
  <c r="AK93" i="91"/>
  <c r="AK94" i="91"/>
  <c r="AK95" i="91"/>
  <c r="AK96" i="91"/>
  <c r="AK97" i="91"/>
  <c r="AK98" i="91"/>
  <c r="AK99" i="91"/>
  <c r="AK100" i="91"/>
  <c r="AK101" i="91"/>
  <c r="AK102" i="91"/>
  <c r="AK103" i="91"/>
  <c r="AK104" i="91"/>
  <c r="AK105" i="91"/>
  <c r="AJ6" i="91"/>
  <c r="AJ7" i="91"/>
  <c r="AJ8" i="91"/>
  <c r="AJ9" i="91"/>
  <c r="AJ10" i="91"/>
  <c r="AJ11" i="91"/>
  <c r="AJ12" i="91"/>
  <c r="AJ13" i="91"/>
  <c r="AJ14" i="91"/>
  <c r="AJ15" i="91"/>
  <c r="AJ16" i="91"/>
  <c r="AJ17" i="91"/>
  <c r="AJ18" i="91"/>
  <c r="AJ19" i="91"/>
  <c r="AJ20" i="91"/>
  <c r="AJ21" i="91"/>
  <c r="AJ22" i="91"/>
  <c r="AJ23" i="91"/>
  <c r="AJ24" i="91"/>
  <c r="AJ25" i="91"/>
  <c r="AJ26" i="91"/>
  <c r="AJ27" i="91"/>
  <c r="AJ28" i="91"/>
  <c r="AJ29" i="91"/>
  <c r="AJ30" i="91"/>
  <c r="AJ31" i="91"/>
  <c r="AJ32" i="91"/>
  <c r="AJ33" i="91"/>
  <c r="AJ34" i="91"/>
  <c r="AJ35" i="91"/>
  <c r="AJ36" i="91"/>
  <c r="AJ37" i="91"/>
  <c r="AJ38" i="91"/>
  <c r="AJ39" i="91"/>
  <c r="AJ40" i="91"/>
  <c r="AJ41" i="91"/>
  <c r="AJ42" i="91"/>
  <c r="AJ43" i="91"/>
  <c r="AJ44" i="91"/>
  <c r="AJ45" i="91"/>
  <c r="AJ46" i="91"/>
  <c r="AJ47" i="91"/>
  <c r="AJ48" i="91"/>
  <c r="AJ49" i="91"/>
  <c r="AJ50" i="91"/>
  <c r="AJ51" i="91"/>
  <c r="AJ52" i="91"/>
  <c r="AJ53" i="91"/>
  <c r="AJ54" i="91"/>
  <c r="AJ55" i="91"/>
  <c r="AJ56" i="91"/>
  <c r="AJ57" i="91"/>
  <c r="AJ58" i="91"/>
  <c r="AJ59" i="91"/>
  <c r="AJ60" i="91"/>
  <c r="AJ61" i="91"/>
  <c r="AJ62" i="91"/>
  <c r="AJ63" i="91"/>
  <c r="AJ64" i="91"/>
  <c r="AJ65" i="91"/>
  <c r="AJ66" i="91"/>
  <c r="AJ67" i="91"/>
  <c r="AJ68" i="91"/>
  <c r="AJ69" i="91"/>
  <c r="AJ70" i="91"/>
  <c r="AJ71" i="91"/>
  <c r="AJ72" i="91"/>
  <c r="AJ73" i="91"/>
  <c r="AJ74" i="91"/>
  <c r="AJ75" i="91"/>
  <c r="AJ76" i="91"/>
  <c r="AJ77" i="91"/>
  <c r="AJ78" i="91"/>
  <c r="AJ79" i="91"/>
  <c r="AJ80" i="91"/>
  <c r="AJ81" i="91"/>
  <c r="AJ82" i="91"/>
  <c r="AJ83" i="91"/>
  <c r="AJ84" i="91"/>
  <c r="AJ85" i="91"/>
  <c r="AJ86" i="91"/>
  <c r="AJ87" i="91"/>
  <c r="AJ88" i="91"/>
  <c r="AJ89" i="91"/>
  <c r="AJ90" i="91"/>
  <c r="AJ91" i="91"/>
  <c r="AJ92" i="91"/>
  <c r="AJ93" i="91"/>
  <c r="AJ94" i="91"/>
  <c r="AJ95" i="91"/>
  <c r="AJ96" i="91"/>
  <c r="AJ97" i="91"/>
  <c r="AJ98" i="91"/>
  <c r="AJ99" i="91"/>
  <c r="AJ100" i="91"/>
  <c r="AJ101" i="91"/>
  <c r="AJ102" i="91"/>
  <c r="AJ103" i="91"/>
  <c r="AJ104" i="91"/>
  <c r="AJ105" i="91"/>
  <c r="AI6" i="91"/>
  <c r="AI7" i="91"/>
  <c r="AI8" i="91"/>
  <c r="AI9" i="91"/>
  <c r="AI10" i="91"/>
  <c r="AI11" i="91"/>
  <c r="AI12" i="91"/>
  <c r="AI13" i="91"/>
  <c r="AI14" i="91"/>
  <c r="AI15" i="91"/>
  <c r="AI16" i="91"/>
  <c r="AI17" i="91"/>
  <c r="AI18" i="91"/>
  <c r="AI19" i="91"/>
  <c r="AI20" i="91"/>
  <c r="AI21" i="91"/>
  <c r="AI22" i="91"/>
  <c r="AI23" i="91"/>
  <c r="AI24" i="91"/>
  <c r="AI25" i="91"/>
  <c r="AI26" i="91"/>
  <c r="AI27" i="91"/>
  <c r="AI28" i="91"/>
  <c r="AI29" i="91"/>
  <c r="AI30" i="91"/>
  <c r="AI31" i="91"/>
  <c r="AI32" i="91"/>
  <c r="AI33" i="91"/>
  <c r="AI34" i="91"/>
  <c r="AI35" i="91"/>
  <c r="AI36" i="91"/>
  <c r="AI37" i="91"/>
  <c r="AI38" i="91"/>
  <c r="AI39" i="91"/>
  <c r="AI40" i="91"/>
  <c r="AI41" i="91"/>
  <c r="AI42" i="91"/>
  <c r="AI43" i="91"/>
  <c r="AI44" i="91"/>
  <c r="AI45" i="91"/>
  <c r="AI46" i="91"/>
  <c r="AI47" i="91"/>
  <c r="AI48" i="91"/>
  <c r="AI49" i="91"/>
  <c r="AI50" i="91"/>
  <c r="AI51" i="91"/>
  <c r="AI52" i="91"/>
  <c r="AI53" i="91"/>
  <c r="AI54" i="91"/>
  <c r="AI55" i="91"/>
  <c r="AI56" i="91"/>
  <c r="AI57" i="91"/>
  <c r="AI58" i="91"/>
  <c r="AI59" i="91"/>
  <c r="AI60" i="91"/>
  <c r="AI61" i="91"/>
  <c r="AI62" i="91"/>
  <c r="AI63" i="91"/>
  <c r="AI64" i="91"/>
  <c r="AI65" i="91"/>
  <c r="AI66" i="91"/>
  <c r="AI67" i="91"/>
  <c r="AI68" i="91"/>
  <c r="AI69" i="91"/>
  <c r="AI70" i="91"/>
  <c r="AI71" i="91"/>
  <c r="AI72" i="91"/>
  <c r="AI73" i="91"/>
  <c r="AI74" i="91"/>
  <c r="AI75" i="91"/>
  <c r="AI76" i="91"/>
  <c r="AI77" i="91"/>
  <c r="AI78" i="91"/>
  <c r="AI79" i="91"/>
  <c r="AI80" i="91"/>
  <c r="AI81" i="91"/>
  <c r="AI82" i="91"/>
  <c r="AI83" i="91"/>
  <c r="AI84" i="91"/>
  <c r="AI85" i="91"/>
  <c r="AI86" i="91"/>
  <c r="AI87" i="91"/>
  <c r="AI88" i="91"/>
  <c r="AI89" i="91"/>
  <c r="AI90" i="91"/>
  <c r="AI91" i="91"/>
  <c r="AI92" i="91"/>
  <c r="AI93" i="91"/>
  <c r="AI94" i="91"/>
  <c r="AI95" i="91"/>
  <c r="AI96" i="91"/>
  <c r="AI97" i="91"/>
  <c r="AI98" i="91"/>
  <c r="AI99" i="91"/>
  <c r="AI100" i="91"/>
  <c r="AI101" i="91"/>
  <c r="AI102" i="91"/>
  <c r="AI103" i="91"/>
  <c r="AI104" i="91"/>
  <c r="AI105" i="91"/>
  <c r="AH6" i="91"/>
  <c r="AH7" i="91"/>
  <c r="AH8" i="91"/>
  <c r="AH9" i="91"/>
  <c r="AH10" i="91"/>
  <c r="AH11" i="91"/>
  <c r="AH12" i="91"/>
  <c r="AH13" i="91"/>
  <c r="AH14" i="91"/>
  <c r="AH15" i="91"/>
  <c r="AH16" i="91"/>
  <c r="AH17" i="91"/>
  <c r="AH18" i="91"/>
  <c r="AH19" i="91"/>
  <c r="AH20" i="91"/>
  <c r="AH21" i="91"/>
  <c r="AH22" i="91"/>
  <c r="AH23" i="91"/>
  <c r="AH24" i="91"/>
  <c r="AH25" i="91"/>
  <c r="AH26" i="91"/>
  <c r="AH27" i="91"/>
  <c r="AH28" i="91"/>
  <c r="AH29" i="91"/>
  <c r="AH30" i="91"/>
  <c r="AH31" i="91"/>
  <c r="AH32" i="91"/>
  <c r="AH33" i="91"/>
  <c r="AH34" i="91"/>
  <c r="AH35" i="91"/>
  <c r="AH36" i="91"/>
  <c r="AH37" i="91"/>
  <c r="AH38" i="91"/>
  <c r="AH39" i="91"/>
  <c r="AH40" i="91"/>
  <c r="AH41" i="91"/>
  <c r="AH42" i="91"/>
  <c r="AH43" i="91"/>
  <c r="AH44" i="91"/>
  <c r="AH45" i="91"/>
  <c r="AH46" i="91"/>
  <c r="AH47" i="91"/>
  <c r="AH48" i="91"/>
  <c r="AH49" i="91"/>
  <c r="AH50" i="91"/>
  <c r="AH51" i="91"/>
  <c r="AH52" i="91"/>
  <c r="AH53" i="91"/>
  <c r="AH54" i="91"/>
  <c r="AH55" i="91"/>
  <c r="AH56" i="91"/>
  <c r="AH57" i="91"/>
  <c r="AH58" i="91"/>
  <c r="AH59" i="91"/>
  <c r="AH60" i="91"/>
  <c r="AH61" i="91"/>
  <c r="AH62" i="91"/>
  <c r="AH63" i="91"/>
  <c r="AH64" i="91"/>
  <c r="AH65" i="91"/>
  <c r="AH66" i="91"/>
  <c r="AH67" i="91"/>
  <c r="AH68" i="91"/>
  <c r="AH69" i="91"/>
  <c r="AH70" i="91"/>
  <c r="AH71" i="91"/>
  <c r="AH72" i="91"/>
  <c r="AH73" i="91"/>
  <c r="AH74" i="91"/>
  <c r="AH75" i="91"/>
  <c r="AH76" i="91"/>
  <c r="AH77" i="91"/>
  <c r="AH78" i="91"/>
  <c r="AH79" i="91"/>
  <c r="AH80" i="91"/>
  <c r="AH81" i="91"/>
  <c r="AH82" i="91"/>
  <c r="AH83" i="91"/>
  <c r="AH84" i="91"/>
  <c r="AH85" i="91"/>
  <c r="AH86" i="91"/>
  <c r="AH87" i="91"/>
  <c r="AH88" i="91"/>
  <c r="AH89" i="91"/>
  <c r="AH90" i="91"/>
  <c r="AH91" i="91"/>
  <c r="AH92" i="91"/>
  <c r="AH93" i="91"/>
  <c r="AH94" i="91"/>
  <c r="AH95" i="91"/>
  <c r="AH96" i="91"/>
  <c r="AH97" i="91"/>
  <c r="AH98" i="91"/>
  <c r="AH99" i="91"/>
  <c r="AH100" i="91"/>
  <c r="AH101" i="91"/>
  <c r="AH102" i="91"/>
  <c r="AH103" i="91"/>
  <c r="AH104" i="91"/>
  <c r="AH105" i="91"/>
  <c r="AK6" i="90"/>
  <c r="AK7" i="90"/>
  <c r="AK8" i="90"/>
  <c r="AK9" i="90"/>
  <c r="AK10" i="90"/>
  <c r="AK11" i="90"/>
  <c r="AK12" i="90"/>
  <c r="AK13" i="90"/>
  <c r="AK14" i="90"/>
  <c r="AK15" i="90"/>
  <c r="AK16" i="90"/>
  <c r="AK17" i="90"/>
  <c r="AK18" i="90"/>
  <c r="AK19" i="90"/>
  <c r="AK20" i="90"/>
  <c r="AK21" i="90"/>
  <c r="AK22" i="90"/>
  <c r="AK23" i="90"/>
  <c r="AK24" i="90"/>
  <c r="AK25" i="90"/>
  <c r="AK26" i="90"/>
  <c r="AK27" i="90"/>
  <c r="AK28" i="90"/>
  <c r="AK29" i="90"/>
  <c r="AK30" i="90"/>
  <c r="AK31" i="90"/>
  <c r="AK32" i="90"/>
  <c r="AK33" i="90"/>
  <c r="AK34" i="90"/>
  <c r="AK35" i="90"/>
  <c r="AK36" i="90"/>
  <c r="AK37" i="90"/>
  <c r="AK38" i="90"/>
  <c r="AK39" i="90"/>
  <c r="AK40" i="90"/>
  <c r="AK41" i="90"/>
  <c r="AK42" i="90"/>
  <c r="AK43" i="90"/>
  <c r="AK44" i="90"/>
  <c r="AK45" i="90"/>
  <c r="AK46" i="90"/>
  <c r="AK47" i="90"/>
  <c r="AK48" i="90"/>
  <c r="AK49" i="90"/>
  <c r="AK50" i="90"/>
  <c r="AK51" i="90"/>
  <c r="AK52" i="90"/>
  <c r="AK53" i="90"/>
  <c r="AK54" i="90"/>
  <c r="AK55" i="90"/>
  <c r="AK56" i="90"/>
  <c r="AK57" i="90"/>
  <c r="AK58" i="90"/>
  <c r="AK59" i="90"/>
  <c r="AK60" i="90"/>
  <c r="AK61" i="90"/>
  <c r="AK62" i="90"/>
  <c r="AK63" i="90"/>
  <c r="AK64" i="90"/>
  <c r="AK65" i="90"/>
  <c r="AK66" i="90"/>
  <c r="AK67" i="90"/>
  <c r="AK68" i="90"/>
  <c r="AK69" i="90"/>
  <c r="AK70" i="90"/>
  <c r="AK71" i="90"/>
  <c r="AK72" i="90"/>
  <c r="AK73" i="90"/>
  <c r="AK74" i="90"/>
  <c r="AK75" i="90"/>
  <c r="AK76" i="90"/>
  <c r="AK77" i="90"/>
  <c r="AK78" i="90"/>
  <c r="AK79" i="90"/>
  <c r="AK80" i="90"/>
  <c r="AK81" i="90"/>
  <c r="AK82" i="90"/>
  <c r="AK83" i="90"/>
  <c r="AK84" i="90"/>
  <c r="AK85" i="90"/>
  <c r="AK86" i="90"/>
  <c r="AK87" i="90"/>
  <c r="AK88" i="90"/>
  <c r="AK89" i="90"/>
  <c r="AK90" i="90"/>
  <c r="AK91" i="90"/>
  <c r="AK92" i="90"/>
  <c r="AK93" i="90"/>
  <c r="AK94" i="90"/>
  <c r="AK95" i="90"/>
  <c r="AK96" i="90"/>
  <c r="AK97" i="90"/>
  <c r="AK98" i="90"/>
  <c r="AK99" i="90"/>
  <c r="AK100" i="90"/>
  <c r="AK101" i="90"/>
  <c r="AK102" i="90"/>
  <c r="AK103" i="90"/>
  <c r="AK104" i="90"/>
  <c r="AK105" i="90"/>
  <c r="AJ6" i="90"/>
  <c r="AJ7" i="90"/>
  <c r="AJ8" i="90"/>
  <c r="AJ9" i="90"/>
  <c r="AJ10" i="90"/>
  <c r="AJ11" i="90"/>
  <c r="AJ12" i="90"/>
  <c r="AJ13" i="90"/>
  <c r="AJ14" i="90"/>
  <c r="AJ15" i="90"/>
  <c r="AJ16" i="90"/>
  <c r="AJ17" i="90"/>
  <c r="AJ18" i="90"/>
  <c r="AJ19" i="90"/>
  <c r="AJ20" i="90"/>
  <c r="AJ21" i="90"/>
  <c r="AJ22" i="90"/>
  <c r="AJ23" i="90"/>
  <c r="AJ24" i="90"/>
  <c r="AJ25" i="90"/>
  <c r="AJ26" i="90"/>
  <c r="AJ27" i="90"/>
  <c r="AJ28" i="90"/>
  <c r="AJ29" i="90"/>
  <c r="AJ30" i="90"/>
  <c r="AJ31" i="90"/>
  <c r="AJ32" i="90"/>
  <c r="AJ33" i="90"/>
  <c r="AJ34" i="90"/>
  <c r="AJ35" i="90"/>
  <c r="AJ36" i="90"/>
  <c r="AJ37" i="90"/>
  <c r="AJ38" i="90"/>
  <c r="AJ39" i="90"/>
  <c r="AJ40" i="90"/>
  <c r="AJ41" i="90"/>
  <c r="AJ42" i="90"/>
  <c r="AJ43" i="90"/>
  <c r="AJ44" i="90"/>
  <c r="AJ45" i="90"/>
  <c r="AJ46" i="90"/>
  <c r="AJ47" i="90"/>
  <c r="AJ48" i="90"/>
  <c r="AJ49" i="90"/>
  <c r="AJ50" i="90"/>
  <c r="AJ51" i="90"/>
  <c r="AJ52" i="90"/>
  <c r="AJ53" i="90"/>
  <c r="AJ54" i="90"/>
  <c r="AJ55" i="90"/>
  <c r="AJ56" i="90"/>
  <c r="AJ57" i="90"/>
  <c r="AJ58" i="90"/>
  <c r="AJ59" i="90"/>
  <c r="AJ60" i="90"/>
  <c r="AJ61" i="90"/>
  <c r="AJ62" i="90"/>
  <c r="AJ63" i="90"/>
  <c r="AJ64" i="90"/>
  <c r="AJ65" i="90"/>
  <c r="AJ66" i="90"/>
  <c r="AJ67" i="90"/>
  <c r="AJ68" i="90"/>
  <c r="AJ69" i="90"/>
  <c r="AJ70" i="90"/>
  <c r="AJ71" i="90"/>
  <c r="AJ72" i="90"/>
  <c r="AJ73" i="90"/>
  <c r="AJ74" i="90"/>
  <c r="AJ75" i="90"/>
  <c r="AJ76" i="90"/>
  <c r="AJ77" i="90"/>
  <c r="AJ78" i="90"/>
  <c r="AJ79" i="90"/>
  <c r="AJ80" i="90"/>
  <c r="AJ81" i="90"/>
  <c r="AJ82" i="90"/>
  <c r="AJ83" i="90"/>
  <c r="AJ84" i="90"/>
  <c r="AJ85" i="90"/>
  <c r="AJ86" i="90"/>
  <c r="AJ87" i="90"/>
  <c r="AJ88" i="90"/>
  <c r="AJ89" i="90"/>
  <c r="AJ90" i="90"/>
  <c r="AJ91" i="90"/>
  <c r="AJ92" i="90"/>
  <c r="AJ93" i="90"/>
  <c r="AJ94" i="90"/>
  <c r="AJ95" i="90"/>
  <c r="AJ96" i="90"/>
  <c r="AJ97" i="90"/>
  <c r="AJ98" i="90"/>
  <c r="AJ99" i="90"/>
  <c r="AJ100" i="90"/>
  <c r="AJ101" i="90"/>
  <c r="AJ102" i="90"/>
  <c r="AJ103" i="90"/>
  <c r="AJ104" i="90"/>
  <c r="AJ105" i="90"/>
  <c r="AI6" i="90"/>
  <c r="AI7" i="90"/>
  <c r="AI8" i="90"/>
  <c r="AI9" i="90"/>
  <c r="AI10" i="90"/>
  <c r="AI11" i="90"/>
  <c r="AI12" i="90"/>
  <c r="AI13" i="90"/>
  <c r="AI14" i="90"/>
  <c r="AI15" i="90"/>
  <c r="AI16" i="90"/>
  <c r="AI17" i="90"/>
  <c r="AI18" i="90"/>
  <c r="AI19" i="90"/>
  <c r="AI20" i="90"/>
  <c r="AI21" i="90"/>
  <c r="AI22" i="90"/>
  <c r="AI23" i="90"/>
  <c r="AI24" i="90"/>
  <c r="AI25" i="90"/>
  <c r="AI26" i="90"/>
  <c r="AI27" i="90"/>
  <c r="AI28" i="90"/>
  <c r="AI29" i="90"/>
  <c r="AI30" i="90"/>
  <c r="AI31" i="90"/>
  <c r="AI32" i="90"/>
  <c r="AI33" i="90"/>
  <c r="AI34" i="90"/>
  <c r="AI35" i="90"/>
  <c r="AI36" i="90"/>
  <c r="AI37" i="90"/>
  <c r="AI38" i="90"/>
  <c r="AI39" i="90"/>
  <c r="AI40" i="90"/>
  <c r="AI41" i="90"/>
  <c r="AI42" i="90"/>
  <c r="AI43" i="90"/>
  <c r="AI44" i="90"/>
  <c r="AI45" i="90"/>
  <c r="AI46" i="90"/>
  <c r="AI47" i="90"/>
  <c r="AI48" i="90"/>
  <c r="AI49" i="90"/>
  <c r="AI50" i="90"/>
  <c r="AI51" i="90"/>
  <c r="AI52" i="90"/>
  <c r="AI53" i="90"/>
  <c r="AI54" i="90"/>
  <c r="AI55" i="90"/>
  <c r="AI56" i="90"/>
  <c r="AI57" i="90"/>
  <c r="AI58" i="90"/>
  <c r="AI59" i="90"/>
  <c r="AI60" i="90"/>
  <c r="AI61" i="90"/>
  <c r="AI62" i="90"/>
  <c r="AI63" i="90"/>
  <c r="AI64" i="90"/>
  <c r="AI65" i="90"/>
  <c r="AI66" i="90"/>
  <c r="AI67" i="90"/>
  <c r="AI68" i="90"/>
  <c r="AI69" i="90"/>
  <c r="AI70" i="90"/>
  <c r="AI71" i="90"/>
  <c r="AI72" i="90"/>
  <c r="AI73" i="90"/>
  <c r="AI74" i="90"/>
  <c r="AI75" i="90"/>
  <c r="AI76" i="90"/>
  <c r="AI77" i="90"/>
  <c r="AI78" i="90"/>
  <c r="AI79" i="90"/>
  <c r="AI80" i="90"/>
  <c r="AI81" i="90"/>
  <c r="AI82" i="90"/>
  <c r="AI83" i="90"/>
  <c r="AI84" i="90"/>
  <c r="AI85" i="90"/>
  <c r="AI86" i="90"/>
  <c r="AI87" i="90"/>
  <c r="AI88" i="90"/>
  <c r="AI89" i="90"/>
  <c r="AI90" i="90"/>
  <c r="AI91" i="90"/>
  <c r="AI92" i="90"/>
  <c r="AI93" i="90"/>
  <c r="AI94" i="90"/>
  <c r="AI95" i="90"/>
  <c r="AI96" i="90"/>
  <c r="AI97" i="90"/>
  <c r="AI98" i="90"/>
  <c r="AI99" i="90"/>
  <c r="AI100" i="90"/>
  <c r="AI101" i="90"/>
  <c r="AI102" i="90"/>
  <c r="AI103" i="90"/>
  <c r="AI104" i="90"/>
  <c r="AI105" i="90"/>
  <c r="AH6" i="90"/>
  <c r="AH7" i="90"/>
  <c r="AH8" i="90"/>
  <c r="AH9" i="90"/>
  <c r="AH10" i="90"/>
  <c r="AH11" i="90"/>
  <c r="AH12" i="90"/>
  <c r="AH13" i="90"/>
  <c r="AH14" i="90"/>
  <c r="AH15" i="90"/>
  <c r="AH16" i="90"/>
  <c r="AH17" i="90"/>
  <c r="AH18" i="90"/>
  <c r="AH19" i="90"/>
  <c r="AH20" i="90"/>
  <c r="AH21" i="90"/>
  <c r="AH22" i="90"/>
  <c r="AH23" i="90"/>
  <c r="AH24" i="90"/>
  <c r="AH25" i="90"/>
  <c r="AH26" i="90"/>
  <c r="AH27" i="90"/>
  <c r="AH28" i="90"/>
  <c r="AH29" i="90"/>
  <c r="AH30" i="90"/>
  <c r="AH31" i="90"/>
  <c r="AH32" i="90"/>
  <c r="AH33" i="90"/>
  <c r="AH34" i="90"/>
  <c r="AH35" i="90"/>
  <c r="AH36" i="90"/>
  <c r="AH37" i="90"/>
  <c r="AH38" i="90"/>
  <c r="AH39" i="90"/>
  <c r="AH40" i="90"/>
  <c r="AH41" i="90"/>
  <c r="AH42" i="90"/>
  <c r="AH43" i="90"/>
  <c r="AH44" i="90"/>
  <c r="AH45" i="90"/>
  <c r="AH46" i="90"/>
  <c r="AH47" i="90"/>
  <c r="AH48" i="90"/>
  <c r="AH49" i="90"/>
  <c r="AH50" i="90"/>
  <c r="AH51" i="90"/>
  <c r="AH52" i="90"/>
  <c r="AH53" i="90"/>
  <c r="AH54" i="90"/>
  <c r="AH55" i="90"/>
  <c r="AH56" i="90"/>
  <c r="AH57" i="90"/>
  <c r="AH58" i="90"/>
  <c r="AH59" i="90"/>
  <c r="AH60" i="90"/>
  <c r="AH61" i="90"/>
  <c r="AH62" i="90"/>
  <c r="AH63" i="90"/>
  <c r="AH64" i="90"/>
  <c r="AH65" i="90"/>
  <c r="AH66" i="90"/>
  <c r="AH67" i="90"/>
  <c r="AH68" i="90"/>
  <c r="AH69" i="90"/>
  <c r="AH70" i="90"/>
  <c r="AH71" i="90"/>
  <c r="AH72" i="90"/>
  <c r="AH73" i="90"/>
  <c r="AH74" i="90"/>
  <c r="AH75" i="90"/>
  <c r="AH76" i="90"/>
  <c r="AH77" i="90"/>
  <c r="AH78" i="90"/>
  <c r="AH79" i="90"/>
  <c r="AH80" i="90"/>
  <c r="AH81" i="90"/>
  <c r="AH82" i="90"/>
  <c r="AH83" i="90"/>
  <c r="AH84" i="90"/>
  <c r="AH85" i="90"/>
  <c r="AH86" i="90"/>
  <c r="AH87" i="90"/>
  <c r="AH88" i="90"/>
  <c r="AH89" i="90"/>
  <c r="AH90" i="90"/>
  <c r="AH91" i="90"/>
  <c r="AH92" i="90"/>
  <c r="AH93" i="90"/>
  <c r="AH94" i="90"/>
  <c r="AH95" i="90"/>
  <c r="AH96" i="90"/>
  <c r="AH97" i="90"/>
  <c r="AH98" i="90"/>
  <c r="AH99" i="90"/>
  <c r="AH100" i="90"/>
  <c r="AH101" i="90"/>
  <c r="AH102" i="90"/>
  <c r="AH103" i="90"/>
  <c r="AH104" i="90"/>
  <c r="AH105" i="90"/>
  <c r="AK6" i="89"/>
  <c r="AK7" i="89"/>
  <c r="AK8" i="89"/>
  <c r="AK9" i="89"/>
  <c r="AK10" i="89"/>
  <c r="AK11" i="89"/>
  <c r="AK12" i="89"/>
  <c r="AK13" i="89"/>
  <c r="AK14" i="89"/>
  <c r="AK15" i="89"/>
  <c r="AK16" i="89"/>
  <c r="AK17" i="89"/>
  <c r="AK18" i="89"/>
  <c r="AK19" i="89"/>
  <c r="AK20" i="89"/>
  <c r="AK21" i="89"/>
  <c r="AK22" i="89"/>
  <c r="AK23" i="89"/>
  <c r="AK24" i="89"/>
  <c r="AK25" i="89"/>
  <c r="AK26" i="89"/>
  <c r="AK27" i="89"/>
  <c r="AK28" i="89"/>
  <c r="AK29" i="89"/>
  <c r="AK30" i="89"/>
  <c r="AK31" i="89"/>
  <c r="AK32" i="89"/>
  <c r="AK33" i="89"/>
  <c r="AK34" i="89"/>
  <c r="AK35" i="89"/>
  <c r="AK36" i="89"/>
  <c r="AK37" i="89"/>
  <c r="AK38" i="89"/>
  <c r="AK39" i="89"/>
  <c r="AK40" i="89"/>
  <c r="AK41" i="89"/>
  <c r="AK42" i="89"/>
  <c r="AK43" i="89"/>
  <c r="AK44" i="89"/>
  <c r="AK45" i="89"/>
  <c r="AK46" i="89"/>
  <c r="AK47" i="89"/>
  <c r="AK48" i="89"/>
  <c r="AK49" i="89"/>
  <c r="AK50" i="89"/>
  <c r="AK51" i="89"/>
  <c r="AK52" i="89"/>
  <c r="AK53" i="89"/>
  <c r="AK54" i="89"/>
  <c r="AK55" i="89"/>
  <c r="AK56" i="89"/>
  <c r="AK57" i="89"/>
  <c r="AK58" i="89"/>
  <c r="AK59" i="89"/>
  <c r="AK60" i="89"/>
  <c r="AK61" i="89"/>
  <c r="AK62" i="89"/>
  <c r="AK63" i="89"/>
  <c r="AK64" i="89"/>
  <c r="AK65" i="89"/>
  <c r="AK66" i="89"/>
  <c r="AK67" i="89"/>
  <c r="AK68" i="89"/>
  <c r="AK69" i="89"/>
  <c r="AK70" i="89"/>
  <c r="AK71" i="89"/>
  <c r="AK72" i="89"/>
  <c r="AK73" i="89"/>
  <c r="AK74" i="89"/>
  <c r="AK75" i="89"/>
  <c r="AK76" i="89"/>
  <c r="AK77" i="89"/>
  <c r="AK78" i="89"/>
  <c r="AK79" i="89"/>
  <c r="AK80" i="89"/>
  <c r="AK81" i="89"/>
  <c r="AK82" i="89"/>
  <c r="AK83" i="89"/>
  <c r="AK84" i="89"/>
  <c r="AK85" i="89"/>
  <c r="AK86" i="89"/>
  <c r="AK87" i="89"/>
  <c r="AK88" i="89"/>
  <c r="AK89" i="89"/>
  <c r="AK90" i="89"/>
  <c r="AK91" i="89"/>
  <c r="AK92" i="89"/>
  <c r="AK93" i="89"/>
  <c r="AK94" i="89"/>
  <c r="AK95" i="89"/>
  <c r="AK96" i="89"/>
  <c r="AK97" i="89"/>
  <c r="AK98" i="89"/>
  <c r="AK99" i="89"/>
  <c r="AK100" i="89"/>
  <c r="AK101" i="89"/>
  <c r="AK102" i="89"/>
  <c r="AK103" i="89"/>
  <c r="AK104" i="89"/>
  <c r="AK105" i="89"/>
  <c r="AJ6" i="89"/>
  <c r="AJ7" i="89"/>
  <c r="AJ8" i="89"/>
  <c r="AJ9" i="89"/>
  <c r="AJ10" i="89"/>
  <c r="AJ11" i="89"/>
  <c r="AJ12" i="89"/>
  <c r="AJ13" i="89"/>
  <c r="AJ14" i="89"/>
  <c r="AJ15" i="89"/>
  <c r="AJ16" i="89"/>
  <c r="AJ17" i="89"/>
  <c r="AJ18" i="89"/>
  <c r="AJ19" i="89"/>
  <c r="AJ20" i="89"/>
  <c r="AJ21" i="89"/>
  <c r="AJ22" i="89"/>
  <c r="AJ23" i="89"/>
  <c r="AJ24" i="89"/>
  <c r="AJ25" i="89"/>
  <c r="AJ26" i="89"/>
  <c r="AJ27" i="89"/>
  <c r="AJ28" i="89"/>
  <c r="AJ29" i="89"/>
  <c r="AJ30" i="89"/>
  <c r="AJ31" i="89"/>
  <c r="AJ32" i="89"/>
  <c r="AJ33" i="89"/>
  <c r="AJ34" i="89"/>
  <c r="AJ35" i="89"/>
  <c r="AJ36" i="89"/>
  <c r="AJ37" i="89"/>
  <c r="AJ38" i="89"/>
  <c r="AJ39" i="89"/>
  <c r="AJ40" i="89"/>
  <c r="AJ41" i="89"/>
  <c r="AJ42" i="89"/>
  <c r="AJ43" i="89"/>
  <c r="AJ44" i="89"/>
  <c r="AJ45" i="89"/>
  <c r="AJ46" i="89"/>
  <c r="AJ47" i="89"/>
  <c r="AJ48" i="89"/>
  <c r="AJ49" i="89"/>
  <c r="AJ50" i="89"/>
  <c r="AJ51" i="89"/>
  <c r="AJ52" i="89"/>
  <c r="AJ53" i="89"/>
  <c r="AJ54" i="89"/>
  <c r="AJ55" i="89"/>
  <c r="AJ56" i="89"/>
  <c r="AJ57" i="89"/>
  <c r="AJ58" i="89"/>
  <c r="AJ59" i="89"/>
  <c r="AJ60" i="89"/>
  <c r="AJ61" i="89"/>
  <c r="AJ62" i="89"/>
  <c r="AJ63" i="89"/>
  <c r="AJ64" i="89"/>
  <c r="AJ65" i="89"/>
  <c r="AJ66" i="89"/>
  <c r="AJ67" i="89"/>
  <c r="AJ68" i="89"/>
  <c r="AJ69" i="89"/>
  <c r="AJ70" i="89"/>
  <c r="AJ71" i="89"/>
  <c r="AJ72" i="89"/>
  <c r="AJ73" i="89"/>
  <c r="AJ74" i="89"/>
  <c r="AJ75" i="89"/>
  <c r="AJ76" i="89"/>
  <c r="AJ77" i="89"/>
  <c r="AJ78" i="89"/>
  <c r="AJ79" i="89"/>
  <c r="AJ80" i="89"/>
  <c r="AJ81" i="89"/>
  <c r="AJ82" i="89"/>
  <c r="AJ83" i="89"/>
  <c r="AJ84" i="89"/>
  <c r="AJ85" i="89"/>
  <c r="AJ86" i="89"/>
  <c r="AJ87" i="89"/>
  <c r="AJ88" i="89"/>
  <c r="AJ89" i="89"/>
  <c r="AJ90" i="89"/>
  <c r="AJ91" i="89"/>
  <c r="AJ92" i="89"/>
  <c r="AJ93" i="89"/>
  <c r="AJ94" i="89"/>
  <c r="AJ95" i="89"/>
  <c r="AJ96" i="89"/>
  <c r="AJ97" i="89"/>
  <c r="AJ98" i="89"/>
  <c r="AJ99" i="89"/>
  <c r="AJ100" i="89"/>
  <c r="AJ101" i="89"/>
  <c r="AJ102" i="89"/>
  <c r="AJ103" i="89"/>
  <c r="AJ104" i="89"/>
  <c r="AJ105" i="89"/>
  <c r="AI6" i="89"/>
  <c r="AI7" i="89"/>
  <c r="AI8" i="89"/>
  <c r="AI9" i="89"/>
  <c r="AI10" i="89"/>
  <c r="AI11" i="89"/>
  <c r="AI12" i="89"/>
  <c r="AI13" i="89"/>
  <c r="AI14" i="89"/>
  <c r="AI15" i="89"/>
  <c r="AI16" i="89"/>
  <c r="AI17" i="89"/>
  <c r="AI18" i="89"/>
  <c r="AI19" i="89"/>
  <c r="AI20" i="89"/>
  <c r="AI21" i="89"/>
  <c r="AI22" i="89"/>
  <c r="AI23" i="89"/>
  <c r="AI24" i="89"/>
  <c r="AI25" i="89"/>
  <c r="AI26" i="89"/>
  <c r="AI27" i="89"/>
  <c r="AI28" i="89"/>
  <c r="AI29" i="89"/>
  <c r="AI30" i="89"/>
  <c r="AI31" i="89"/>
  <c r="AI32" i="89"/>
  <c r="AI33" i="89"/>
  <c r="AI34" i="89"/>
  <c r="AI35" i="89"/>
  <c r="AI36" i="89"/>
  <c r="AI37" i="89"/>
  <c r="AI38" i="89"/>
  <c r="AI39" i="89"/>
  <c r="AI40" i="89"/>
  <c r="AI41" i="89"/>
  <c r="AI42" i="89"/>
  <c r="AI43" i="89"/>
  <c r="AI44" i="89"/>
  <c r="AI45" i="89"/>
  <c r="AI46" i="89"/>
  <c r="AI47" i="89"/>
  <c r="AI48" i="89"/>
  <c r="AI49" i="89"/>
  <c r="AI50" i="89"/>
  <c r="AI51" i="89"/>
  <c r="AI52" i="89"/>
  <c r="AI53" i="89"/>
  <c r="AI54" i="89"/>
  <c r="AI55" i="89"/>
  <c r="AI56" i="89"/>
  <c r="AI57" i="89"/>
  <c r="AI58" i="89"/>
  <c r="AI59" i="89"/>
  <c r="AI60" i="89"/>
  <c r="AI61" i="89"/>
  <c r="AI62" i="89"/>
  <c r="AI63" i="89"/>
  <c r="AI64" i="89"/>
  <c r="AI65" i="89"/>
  <c r="AI66" i="89"/>
  <c r="AI67" i="89"/>
  <c r="AI68" i="89"/>
  <c r="AI69" i="89"/>
  <c r="AI70" i="89"/>
  <c r="AI71" i="89"/>
  <c r="AI72" i="89"/>
  <c r="AI73" i="89"/>
  <c r="AI74" i="89"/>
  <c r="AI75" i="89"/>
  <c r="AI76" i="89"/>
  <c r="AI77" i="89"/>
  <c r="AI78" i="89"/>
  <c r="AI79" i="89"/>
  <c r="AI80" i="89"/>
  <c r="AI81" i="89"/>
  <c r="AI82" i="89"/>
  <c r="AI83" i="89"/>
  <c r="AI84" i="89"/>
  <c r="AI85" i="89"/>
  <c r="AI86" i="89"/>
  <c r="AI87" i="89"/>
  <c r="AI88" i="89"/>
  <c r="AI89" i="89"/>
  <c r="AI90" i="89"/>
  <c r="AI91" i="89"/>
  <c r="AI92" i="89"/>
  <c r="AI93" i="89"/>
  <c r="AI94" i="89"/>
  <c r="AI95" i="89"/>
  <c r="AI96" i="89"/>
  <c r="AI97" i="89"/>
  <c r="AI98" i="89"/>
  <c r="AI99" i="89"/>
  <c r="AI100" i="89"/>
  <c r="AI101" i="89"/>
  <c r="AI102" i="89"/>
  <c r="AI103" i="89"/>
  <c r="AI104" i="89"/>
  <c r="AI105" i="89"/>
  <c r="AH6" i="89"/>
  <c r="AH7" i="89"/>
  <c r="AH8" i="89"/>
  <c r="AH9" i="89"/>
  <c r="AH10" i="89"/>
  <c r="AH11" i="89"/>
  <c r="AH12" i="89"/>
  <c r="AH13" i="89"/>
  <c r="AH14" i="89"/>
  <c r="AH15" i="89"/>
  <c r="AH16" i="89"/>
  <c r="AH17" i="89"/>
  <c r="AH18" i="89"/>
  <c r="AH19" i="89"/>
  <c r="AH20" i="89"/>
  <c r="AH21" i="89"/>
  <c r="AH22" i="89"/>
  <c r="AH23" i="89"/>
  <c r="AH24" i="89"/>
  <c r="AH25" i="89"/>
  <c r="AH26" i="89"/>
  <c r="AH27" i="89"/>
  <c r="AH28" i="89"/>
  <c r="AH29" i="89"/>
  <c r="AH30" i="89"/>
  <c r="AH31" i="89"/>
  <c r="AH32" i="89"/>
  <c r="AH33" i="89"/>
  <c r="AH34" i="89"/>
  <c r="AH35" i="89"/>
  <c r="AH36" i="89"/>
  <c r="AH37" i="89"/>
  <c r="AH38" i="89"/>
  <c r="AH39" i="89"/>
  <c r="AH40" i="89"/>
  <c r="AH41" i="89"/>
  <c r="AH42" i="89"/>
  <c r="AH43" i="89"/>
  <c r="AH44" i="89"/>
  <c r="AH45" i="89"/>
  <c r="AH46" i="89"/>
  <c r="AH47" i="89"/>
  <c r="AH48" i="89"/>
  <c r="AH49" i="89"/>
  <c r="AH50" i="89"/>
  <c r="AH51" i="89"/>
  <c r="AH52" i="89"/>
  <c r="AH53" i="89"/>
  <c r="AH54" i="89"/>
  <c r="AH55" i="89"/>
  <c r="AH56" i="89"/>
  <c r="AH57" i="89"/>
  <c r="AH58" i="89"/>
  <c r="AH59" i="89"/>
  <c r="AH60" i="89"/>
  <c r="AH61" i="89"/>
  <c r="AH62" i="89"/>
  <c r="AH63" i="89"/>
  <c r="AH64" i="89"/>
  <c r="AH65" i="89"/>
  <c r="AH66" i="89"/>
  <c r="AH67" i="89"/>
  <c r="AH68" i="89"/>
  <c r="AH69" i="89"/>
  <c r="AH70" i="89"/>
  <c r="AH71" i="89"/>
  <c r="AH72" i="89"/>
  <c r="AH73" i="89"/>
  <c r="AH74" i="89"/>
  <c r="AH75" i="89"/>
  <c r="AH76" i="89"/>
  <c r="AH77" i="89"/>
  <c r="AH78" i="89"/>
  <c r="AH79" i="89"/>
  <c r="AH80" i="89"/>
  <c r="AH81" i="89"/>
  <c r="AH82" i="89"/>
  <c r="AH83" i="89"/>
  <c r="AH84" i="89"/>
  <c r="AH85" i="89"/>
  <c r="AH86" i="89"/>
  <c r="AH87" i="89"/>
  <c r="AH88" i="89"/>
  <c r="AH89" i="89"/>
  <c r="AH90" i="89"/>
  <c r="AH91" i="89"/>
  <c r="AH92" i="89"/>
  <c r="AH93" i="89"/>
  <c r="AH94" i="89"/>
  <c r="AH95" i="89"/>
  <c r="AH96" i="89"/>
  <c r="AH97" i="89"/>
  <c r="AH98" i="89"/>
  <c r="AH99" i="89"/>
  <c r="AH100" i="89"/>
  <c r="AH101" i="89"/>
  <c r="AH102" i="89"/>
  <c r="AH103" i="89"/>
  <c r="AH104" i="89"/>
  <c r="AH105" i="89"/>
  <c r="AK6" i="88"/>
  <c r="AK7" i="88"/>
  <c r="AK8" i="88"/>
  <c r="AK9" i="88"/>
  <c r="AK10" i="88"/>
  <c r="AK11" i="88"/>
  <c r="AK12" i="88"/>
  <c r="AK13" i="88"/>
  <c r="AK14" i="88"/>
  <c r="AK15" i="88"/>
  <c r="AK16" i="88"/>
  <c r="AK17" i="88"/>
  <c r="AK18" i="88"/>
  <c r="AK19" i="88"/>
  <c r="AK20" i="88"/>
  <c r="AK21" i="88"/>
  <c r="AK22" i="88"/>
  <c r="AK23" i="88"/>
  <c r="AK24" i="88"/>
  <c r="AK25" i="88"/>
  <c r="AK26" i="88"/>
  <c r="AK27" i="88"/>
  <c r="AK28" i="88"/>
  <c r="AK29" i="88"/>
  <c r="AK30" i="88"/>
  <c r="AK31" i="88"/>
  <c r="AK32" i="88"/>
  <c r="AK33" i="88"/>
  <c r="AK34" i="88"/>
  <c r="AK35" i="88"/>
  <c r="AK36" i="88"/>
  <c r="AK37" i="88"/>
  <c r="AK38" i="88"/>
  <c r="AK39" i="88"/>
  <c r="AK40" i="88"/>
  <c r="AK41" i="88"/>
  <c r="AK42" i="88"/>
  <c r="AK43" i="88"/>
  <c r="AK44" i="88"/>
  <c r="AK45" i="88"/>
  <c r="AK46" i="88"/>
  <c r="AK47" i="88"/>
  <c r="AK48" i="88"/>
  <c r="AK49" i="88"/>
  <c r="AK50" i="88"/>
  <c r="AK51" i="88"/>
  <c r="AK52" i="88"/>
  <c r="AK53" i="88"/>
  <c r="AK54" i="88"/>
  <c r="AK55" i="88"/>
  <c r="AK56" i="88"/>
  <c r="AK57" i="88"/>
  <c r="AK58" i="88"/>
  <c r="AK59" i="88"/>
  <c r="AK60" i="88"/>
  <c r="AK61" i="88"/>
  <c r="AK62" i="88"/>
  <c r="AK63" i="88"/>
  <c r="AK64" i="88"/>
  <c r="AK65" i="88"/>
  <c r="AK66" i="88"/>
  <c r="AK67" i="88"/>
  <c r="AK68" i="88"/>
  <c r="AK69" i="88"/>
  <c r="AK70" i="88"/>
  <c r="AK71" i="88"/>
  <c r="AK72" i="88"/>
  <c r="AK73" i="88"/>
  <c r="AK74" i="88"/>
  <c r="AK75" i="88"/>
  <c r="AK76" i="88"/>
  <c r="AK77" i="88"/>
  <c r="AK78" i="88"/>
  <c r="AK79" i="88"/>
  <c r="AK80" i="88"/>
  <c r="AK81" i="88"/>
  <c r="AK82" i="88"/>
  <c r="AK83" i="88"/>
  <c r="AK84" i="88"/>
  <c r="AK85" i="88"/>
  <c r="AK86" i="88"/>
  <c r="AK87" i="88"/>
  <c r="AK88" i="88"/>
  <c r="AK89" i="88"/>
  <c r="AK90" i="88"/>
  <c r="AK91" i="88"/>
  <c r="AK92" i="88"/>
  <c r="AK93" i="88"/>
  <c r="AK94" i="88"/>
  <c r="AK95" i="88"/>
  <c r="AK96" i="88"/>
  <c r="AK97" i="88"/>
  <c r="AK98" i="88"/>
  <c r="AK99" i="88"/>
  <c r="AK100" i="88"/>
  <c r="AK101" i="88"/>
  <c r="AK102" i="88"/>
  <c r="AK103" i="88"/>
  <c r="AK104" i="88"/>
  <c r="AK105" i="88"/>
  <c r="AJ6" i="88"/>
  <c r="AJ7" i="88"/>
  <c r="AJ8" i="88"/>
  <c r="AJ9" i="88"/>
  <c r="AJ10" i="88"/>
  <c r="AJ11" i="88"/>
  <c r="AJ12" i="88"/>
  <c r="AJ13" i="88"/>
  <c r="AJ14" i="88"/>
  <c r="AJ15" i="88"/>
  <c r="AJ16" i="88"/>
  <c r="AJ17" i="88"/>
  <c r="AJ18" i="88"/>
  <c r="AJ19" i="88"/>
  <c r="AJ20" i="88"/>
  <c r="AJ21" i="88"/>
  <c r="AJ22" i="88"/>
  <c r="AJ23" i="88"/>
  <c r="AJ24" i="88"/>
  <c r="AJ25" i="88"/>
  <c r="AJ26" i="88"/>
  <c r="AJ27" i="88"/>
  <c r="AJ28" i="88"/>
  <c r="AJ29" i="88"/>
  <c r="AJ30" i="88"/>
  <c r="AJ31" i="88"/>
  <c r="AJ32" i="88"/>
  <c r="AJ33" i="88"/>
  <c r="AJ34" i="88"/>
  <c r="AJ35" i="88"/>
  <c r="AJ36" i="88"/>
  <c r="AJ37" i="88"/>
  <c r="AJ38" i="88"/>
  <c r="AJ39" i="88"/>
  <c r="AJ40" i="88"/>
  <c r="AJ41" i="88"/>
  <c r="AJ42" i="88"/>
  <c r="AJ43" i="88"/>
  <c r="AJ44" i="88"/>
  <c r="AJ45" i="88"/>
  <c r="AJ46" i="88"/>
  <c r="AJ47" i="88"/>
  <c r="AJ48" i="88"/>
  <c r="AJ49" i="88"/>
  <c r="AJ50" i="88"/>
  <c r="AJ51" i="88"/>
  <c r="AJ52" i="88"/>
  <c r="AJ53" i="88"/>
  <c r="AJ54" i="88"/>
  <c r="AJ55" i="88"/>
  <c r="AJ56" i="88"/>
  <c r="AJ57" i="88"/>
  <c r="AJ58" i="88"/>
  <c r="AJ59" i="88"/>
  <c r="AJ60" i="88"/>
  <c r="AJ61" i="88"/>
  <c r="AJ62" i="88"/>
  <c r="AJ63" i="88"/>
  <c r="AJ64" i="88"/>
  <c r="AJ65" i="88"/>
  <c r="AJ66" i="88"/>
  <c r="AJ67" i="88"/>
  <c r="AJ68" i="88"/>
  <c r="AJ69" i="88"/>
  <c r="AJ70" i="88"/>
  <c r="AJ71" i="88"/>
  <c r="AJ72" i="88"/>
  <c r="AJ73" i="88"/>
  <c r="AJ74" i="88"/>
  <c r="AJ75" i="88"/>
  <c r="AJ76" i="88"/>
  <c r="AJ77" i="88"/>
  <c r="AJ78" i="88"/>
  <c r="AJ79" i="88"/>
  <c r="AJ80" i="88"/>
  <c r="AJ81" i="88"/>
  <c r="AJ82" i="88"/>
  <c r="AJ83" i="88"/>
  <c r="AJ84" i="88"/>
  <c r="AJ85" i="88"/>
  <c r="AJ86" i="88"/>
  <c r="AJ87" i="88"/>
  <c r="AJ88" i="88"/>
  <c r="AJ89" i="88"/>
  <c r="AJ90" i="88"/>
  <c r="AJ91" i="88"/>
  <c r="AJ92" i="88"/>
  <c r="AJ93" i="88"/>
  <c r="AJ94" i="88"/>
  <c r="AJ95" i="88"/>
  <c r="AJ96" i="88"/>
  <c r="AJ97" i="88"/>
  <c r="AJ98" i="88"/>
  <c r="AJ99" i="88"/>
  <c r="AJ100" i="88"/>
  <c r="AJ101" i="88"/>
  <c r="AJ102" i="88"/>
  <c r="AJ103" i="88"/>
  <c r="AJ104" i="88"/>
  <c r="AJ105" i="88"/>
  <c r="AI6" i="88"/>
  <c r="AI7" i="88"/>
  <c r="AI8" i="88"/>
  <c r="AI9" i="88"/>
  <c r="AI10" i="88"/>
  <c r="AI11" i="88"/>
  <c r="AI12" i="88"/>
  <c r="AI13" i="88"/>
  <c r="AI14" i="88"/>
  <c r="AI15" i="88"/>
  <c r="AI16" i="88"/>
  <c r="AI17" i="88"/>
  <c r="AI18" i="88"/>
  <c r="AI19" i="88"/>
  <c r="AI20" i="88"/>
  <c r="AI21" i="88"/>
  <c r="AI22" i="88"/>
  <c r="AI23" i="88"/>
  <c r="AI24" i="88"/>
  <c r="AI25" i="88"/>
  <c r="AI26" i="88"/>
  <c r="AI27" i="88"/>
  <c r="AI28" i="88"/>
  <c r="AI29" i="88"/>
  <c r="AI30" i="88"/>
  <c r="AI31" i="88"/>
  <c r="AI32" i="88"/>
  <c r="AI33" i="88"/>
  <c r="AI34" i="88"/>
  <c r="AI35" i="88"/>
  <c r="AI36" i="88"/>
  <c r="AI37" i="88"/>
  <c r="AI38" i="88"/>
  <c r="AI39" i="88"/>
  <c r="AI40" i="88"/>
  <c r="AI41" i="88"/>
  <c r="AI42" i="88"/>
  <c r="AI43" i="88"/>
  <c r="AI44" i="88"/>
  <c r="AI45" i="88"/>
  <c r="AI46" i="88"/>
  <c r="AI47" i="88"/>
  <c r="AI48" i="88"/>
  <c r="AI49" i="88"/>
  <c r="AI50" i="88"/>
  <c r="AI51" i="88"/>
  <c r="AI52" i="88"/>
  <c r="AI53" i="88"/>
  <c r="AI54" i="88"/>
  <c r="AI55" i="88"/>
  <c r="AI56" i="88"/>
  <c r="AI57" i="88"/>
  <c r="AI58" i="88"/>
  <c r="AI59" i="88"/>
  <c r="AI60" i="88"/>
  <c r="AI61" i="88"/>
  <c r="AI62" i="88"/>
  <c r="AI63" i="88"/>
  <c r="AI64" i="88"/>
  <c r="AI65" i="88"/>
  <c r="AI66" i="88"/>
  <c r="AI67" i="88"/>
  <c r="AI68" i="88"/>
  <c r="AI69" i="88"/>
  <c r="AI70" i="88"/>
  <c r="AI71" i="88"/>
  <c r="AI72" i="88"/>
  <c r="AI73" i="88"/>
  <c r="AI74" i="88"/>
  <c r="AI75" i="88"/>
  <c r="AI76" i="88"/>
  <c r="AI77" i="88"/>
  <c r="AI78" i="88"/>
  <c r="AI79" i="88"/>
  <c r="AI80" i="88"/>
  <c r="AI81" i="88"/>
  <c r="AI82" i="88"/>
  <c r="AI83" i="88"/>
  <c r="AI84" i="88"/>
  <c r="AI85" i="88"/>
  <c r="AI86" i="88"/>
  <c r="AI87" i="88"/>
  <c r="AI88" i="88"/>
  <c r="AI89" i="88"/>
  <c r="AI90" i="88"/>
  <c r="AI91" i="88"/>
  <c r="AI92" i="88"/>
  <c r="AI93" i="88"/>
  <c r="AI94" i="88"/>
  <c r="AI95" i="88"/>
  <c r="AI96" i="88"/>
  <c r="AI97" i="88"/>
  <c r="AI98" i="88"/>
  <c r="AI99" i="88"/>
  <c r="AI100" i="88"/>
  <c r="AI101" i="88"/>
  <c r="AI102" i="88"/>
  <c r="AI103" i="88"/>
  <c r="AI104" i="88"/>
  <c r="AI105" i="88"/>
  <c r="AH6" i="88"/>
  <c r="AH7" i="88"/>
  <c r="AH8" i="88"/>
  <c r="AH9" i="88"/>
  <c r="AH10" i="88"/>
  <c r="AH11" i="88"/>
  <c r="AH12" i="88"/>
  <c r="AH13" i="88"/>
  <c r="AH14" i="88"/>
  <c r="AH15" i="88"/>
  <c r="AH16" i="88"/>
  <c r="AH17" i="88"/>
  <c r="AH18" i="88"/>
  <c r="AH19" i="88"/>
  <c r="AH20" i="88"/>
  <c r="AH21" i="88"/>
  <c r="AH22" i="88"/>
  <c r="AH23" i="88"/>
  <c r="AH24" i="88"/>
  <c r="AH25" i="88"/>
  <c r="AH26" i="88"/>
  <c r="AH27" i="88"/>
  <c r="AH28" i="88"/>
  <c r="AH29" i="88"/>
  <c r="AH30" i="88"/>
  <c r="AH31" i="88"/>
  <c r="AH32" i="88"/>
  <c r="AH33" i="88"/>
  <c r="AH34" i="88"/>
  <c r="AH35" i="88"/>
  <c r="AH36" i="88"/>
  <c r="AH37" i="88"/>
  <c r="AH38" i="88"/>
  <c r="AH39" i="88"/>
  <c r="AH40" i="88"/>
  <c r="AH41" i="88"/>
  <c r="AH42" i="88"/>
  <c r="AH43" i="88"/>
  <c r="AH44" i="88"/>
  <c r="AH45" i="88"/>
  <c r="AH46" i="88"/>
  <c r="AH47" i="88"/>
  <c r="AH48" i="88"/>
  <c r="AH49" i="88"/>
  <c r="AH50" i="88"/>
  <c r="AH51" i="88"/>
  <c r="AH52" i="88"/>
  <c r="AH53" i="88"/>
  <c r="AH54" i="88"/>
  <c r="AH55" i="88"/>
  <c r="AH56" i="88"/>
  <c r="AH57" i="88"/>
  <c r="AH58" i="88"/>
  <c r="AH59" i="88"/>
  <c r="AH60" i="88"/>
  <c r="AH61" i="88"/>
  <c r="AH62" i="88"/>
  <c r="AH63" i="88"/>
  <c r="AH64" i="88"/>
  <c r="AH65" i="88"/>
  <c r="AH66" i="88"/>
  <c r="AH67" i="88"/>
  <c r="AH68" i="88"/>
  <c r="AH69" i="88"/>
  <c r="AH70" i="88"/>
  <c r="AH71" i="88"/>
  <c r="AH72" i="88"/>
  <c r="AH73" i="88"/>
  <c r="AH74" i="88"/>
  <c r="AH75" i="88"/>
  <c r="AH76" i="88"/>
  <c r="AH77" i="88"/>
  <c r="AH78" i="88"/>
  <c r="AH79" i="88"/>
  <c r="AH80" i="88"/>
  <c r="AH81" i="88"/>
  <c r="AH82" i="88"/>
  <c r="AH83" i="88"/>
  <c r="AH84" i="88"/>
  <c r="AH85" i="88"/>
  <c r="AH86" i="88"/>
  <c r="AH87" i="88"/>
  <c r="AH88" i="88"/>
  <c r="AH89" i="88"/>
  <c r="AH90" i="88"/>
  <c r="AH91" i="88"/>
  <c r="AH92" i="88"/>
  <c r="AH93" i="88"/>
  <c r="AH94" i="88"/>
  <c r="AH95" i="88"/>
  <c r="AH96" i="88"/>
  <c r="AH97" i="88"/>
  <c r="AH98" i="88"/>
  <c r="AH99" i="88"/>
  <c r="AH100" i="88"/>
  <c r="AH101" i="88"/>
  <c r="AH102" i="88"/>
  <c r="AH103" i="88"/>
  <c r="AH104" i="88"/>
  <c r="AH105" i="88"/>
  <c r="AK6" i="87"/>
  <c r="AK7" i="87"/>
  <c r="AK8" i="87"/>
  <c r="AK9" i="87"/>
  <c r="AK10" i="87"/>
  <c r="AK11" i="87"/>
  <c r="AK12" i="87"/>
  <c r="AK13" i="87"/>
  <c r="AK14" i="87"/>
  <c r="AK15" i="87"/>
  <c r="AK16" i="87"/>
  <c r="AK17" i="87"/>
  <c r="AK18" i="87"/>
  <c r="AK19" i="87"/>
  <c r="AK20" i="87"/>
  <c r="AK21" i="87"/>
  <c r="AK22" i="87"/>
  <c r="AK23" i="87"/>
  <c r="AK24" i="87"/>
  <c r="AK25" i="87"/>
  <c r="AK26" i="87"/>
  <c r="AK27" i="87"/>
  <c r="AK28" i="87"/>
  <c r="AK29" i="87"/>
  <c r="AK30" i="87"/>
  <c r="AK31" i="87"/>
  <c r="AK32" i="87"/>
  <c r="AK33" i="87"/>
  <c r="AK34" i="87"/>
  <c r="AK35" i="87"/>
  <c r="AK36" i="87"/>
  <c r="AK37" i="87"/>
  <c r="AK38" i="87"/>
  <c r="AK39" i="87"/>
  <c r="AK40" i="87"/>
  <c r="AK41" i="87"/>
  <c r="AK42" i="87"/>
  <c r="AK43" i="87"/>
  <c r="AK44" i="87"/>
  <c r="AK45" i="87"/>
  <c r="AK46" i="87"/>
  <c r="AK47" i="87"/>
  <c r="AK48" i="87"/>
  <c r="AK49" i="87"/>
  <c r="AK50" i="87"/>
  <c r="AK51" i="87"/>
  <c r="AK52" i="87"/>
  <c r="AK53" i="87"/>
  <c r="AK54" i="87"/>
  <c r="AK55" i="87"/>
  <c r="AK56" i="87"/>
  <c r="AK57" i="87"/>
  <c r="AK58" i="87"/>
  <c r="AK59" i="87"/>
  <c r="AK60" i="87"/>
  <c r="AK61" i="87"/>
  <c r="AK62" i="87"/>
  <c r="AK63" i="87"/>
  <c r="AK64" i="87"/>
  <c r="AK65" i="87"/>
  <c r="AK66" i="87"/>
  <c r="AK67" i="87"/>
  <c r="AK68" i="87"/>
  <c r="AK69" i="87"/>
  <c r="AK70" i="87"/>
  <c r="AK71" i="87"/>
  <c r="AK72" i="87"/>
  <c r="AK73" i="87"/>
  <c r="AK74" i="87"/>
  <c r="AK75" i="87"/>
  <c r="AK76" i="87"/>
  <c r="AK77" i="87"/>
  <c r="AK78" i="87"/>
  <c r="AK79" i="87"/>
  <c r="AK80" i="87"/>
  <c r="AK81" i="87"/>
  <c r="AK82" i="87"/>
  <c r="AK83" i="87"/>
  <c r="AK84" i="87"/>
  <c r="AK85" i="87"/>
  <c r="AK86" i="87"/>
  <c r="AK87" i="87"/>
  <c r="AK88" i="87"/>
  <c r="AK89" i="87"/>
  <c r="AK90" i="87"/>
  <c r="AK91" i="87"/>
  <c r="AK92" i="87"/>
  <c r="AK93" i="87"/>
  <c r="AK94" i="87"/>
  <c r="AK95" i="87"/>
  <c r="AK96" i="87"/>
  <c r="AK97" i="87"/>
  <c r="AK98" i="87"/>
  <c r="AK99" i="87"/>
  <c r="AK100" i="87"/>
  <c r="AK101" i="87"/>
  <c r="AK102" i="87"/>
  <c r="AK103" i="87"/>
  <c r="AK104" i="87"/>
  <c r="AK105" i="87"/>
  <c r="AJ6" i="87"/>
  <c r="AJ7" i="87"/>
  <c r="AJ8" i="87"/>
  <c r="AJ9" i="87"/>
  <c r="AJ10" i="87"/>
  <c r="AJ11" i="87"/>
  <c r="AJ12" i="87"/>
  <c r="AJ13" i="87"/>
  <c r="AJ14" i="87"/>
  <c r="AJ15" i="87"/>
  <c r="AJ16" i="87"/>
  <c r="AJ17" i="87"/>
  <c r="AJ18" i="87"/>
  <c r="AJ19" i="87"/>
  <c r="AJ20" i="87"/>
  <c r="AJ21" i="87"/>
  <c r="AJ22" i="87"/>
  <c r="AJ23" i="87"/>
  <c r="AJ24" i="87"/>
  <c r="AJ25" i="87"/>
  <c r="AJ26" i="87"/>
  <c r="AJ27" i="87"/>
  <c r="AJ28" i="87"/>
  <c r="AJ29" i="87"/>
  <c r="AJ30" i="87"/>
  <c r="AJ31" i="87"/>
  <c r="AJ32" i="87"/>
  <c r="AJ33" i="87"/>
  <c r="AJ34" i="87"/>
  <c r="AJ35" i="87"/>
  <c r="AJ36" i="87"/>
  <c r="AJ37" i="87"/>
  <c r="AJ38" i="87"/>
  <c r="AJ39" i="87"/>
  <c r="AJ40" i="87"/>
  <c r="AJ41" i="87"/>
  <c r="AJ42" i="87"/>
  <c r="AJ43" i="87"/>
  <c r="AJ44" i="87"/>
  <c r="AJ45" i="87"/>
  <c r="AJ46" i="87"/>
  <c r="AJ47" i="87"/>
  <c r="AJ48" i="87"/>
  <c r="AJ49" i="87"/>
  <c r="AJ50" i="87"/>
  <c r="AJ51" i="87"/>
  <c r="AJ52" i="87"/>
  <c r="AJ53" i="87"/>
  <c r="AJ54" i="87"/>
  <c r="AJ55" i="87"/>
  <c r="AJ56" i="87"/>
  <c r="AJ57" i="87"/>
  <c r="AJ58" i="87"/>
  <c r="AJ59" i="87"/>
  <c r="AJ60" i="87"/>
  <c r="AJ61" i="87"/>
  <c r="AJ62" i="87"/>
  <c r="AJ63" i="87"/>
  <c r="AJ64" i="87"/>
  <c r="AJ65" i="87"/>
  <c r="AJ66" i="87"/>
  <c r="AJ67" i="87"/>
  <c r="AJ68" i="87"/>
  <c r="AJ69" i="87"/>
  <c r="AJ70" i="87"/>
  <c r="AJ71" i="87"/>
  <c r="AJ72" i="87"/>
  <c r="AJ73" i="87"/>
  <c r="AJ74" i="87"/>
  <c r="AJ75" i="87"/>
  <c r="AJ76" i="87"/>
  <c r="AJ77" i="87"/>
  <c r="AJ78" i="87"/>
  <c r="AJ79" i="87"/>
  <c r="AJ80" i="87"/>
  <c r="AJ81" i="87"/>
  <c r="AJ82" i="87"/>
  <c r="AJ83" i="87"/>
  <c r="AJ84" i="87"/>
  <c r="AJ85" i="87"/>
  <c r="AJ86" i="87"/>
  <c r="AJ87" i="87"/>
  <c r="AJ88" i="87"/>
  <c r="AJ89" i="87"/>
  <c r="AJ90" i="87"/>
  <c r="AJ91" i="87"/>
  <c r="AJ92" i="87"/>
  <c r="AJ93" i="87"/>
  <c r="AJ94" i="87"/>
  <c r="AJ95" i="87"/>
  <c r="AJ96" i="87"/>
  <c r="AJ97" i="87"/>
  <c r="AJ98" i="87"/>
  <c r="AJ99" i="87"/>
  <c r="AJ100" i="87"/>
  <c r="AJ101" i="87"/>
  <c r="AJ102" i="87"/>
  <c r="AJ103" i="87"/>
  <c r="AJ104" i="87"/>
  <c r="AJ105" i="87"/>
  <c r="AI6" i="87"/>
  <c r="AI7" i="87"/>
  <c r="AI8" i="87"/>
  <c r="AI9" i="87"/>
  <c r="AI10" i="87"/>
  <c r="AI11" i="87"/>
  <c r="AI12" i="87"/>
  <c r="AI13" i="87"/>
  <c r="AI14" i="87"/>
  <c r="AI15" i="87"/>
  <c r="AI16" i="87"/>
  <c r="AI17" i="87"/>
  <c r="AI18" i="87"/>
  <c r="AI19" i="87"/>
  <c r="AI20" i="87"/>
  <c r="AI21" i="87"/>
  <c r="AI22" i="87"/>
  <c r="AI23" i="87"/>
  <c r="AI24" i="87"/>
  <c r="AI25" i="87"/>
  <c r="AI26" i="87"/>
  <c r="AI27" i="87"/>
  <c r="AI28" i="87"/>
  <c r="AI29" i="87"/>
  <c r="AI30" i="87"/>
  <c r="AI31" i="87"/>
  <c r="AI32" i="87"/>
  <c r="AI33" i="87"/>
  <c r="AI34" i="87"/>
  <c r="AI35" i="87"/>
  <c r="AI36" i="87"/>
  <c r="AI37" i="87"/>
  <c r="AI38" i="87"/>
  <c r="AI39" i="87"/>
  <c r="AI40" i="87"/>
  <c r="AI41" i="87"/>
  <c r="AI42" i="87"/>
  <c r="AI43" i="87"/>
  <c r="AI44" i="87"/>
  <c r="AI45" i="87"/>
  <c r="AI46" i="87"/>
  <c r="AI47" i="87"/>
  <c r="AI48" i="87"/>
  <c r="AI49" i="87"/>
  <c r="AI50" i="87"/>
  <c r="AI51" i="87"/>
  <c r="AI52" i="87"/>
  <c r="AI53" i="87"/>
  <c r="AI54" i="87"/>
  <c r="AI55" i="87"/>
  <c r="AI56" i="87"/>
  <c r="AI57" i="87"/>
  <c r="AI58" i="87"/>
  <c r="AI59" i="87"/>
  <c r="AI60" i="87"/>
  <c r="AI61" i="87"/>
  <c r="AI62" i="87"/>
  <c r="AI63" i="87"/>
  <c r="AI64" i="87"/>
  <c r="AI65" i="87"/>
  <c r="AI66" i="87"/>
  <c r="AI67" i="87"/>
  <c r="AI68" i="87"/>
  <c r="AI69" i="87"/>
  <c r="AI70" i="87"/>
  <c r="AI71" i="87"/>
  <c r="AI72" i="87"/>
  <c r="AI73" i="87"/>
  <c r="AI74" i="87"/>
  <c r="AI75" i="87"/>
  <c r="AI76" i="87"/>
  <c r="AI77" i="87"/>
  <c r="AI78" i="87"/>
  <c r="AI79" i="87"/>
  <c r="AI80" i="87"/>
  <c r="AI81" i="87"/>
  <c r="AI82" i="87"/>
  <c r="AI83" i="87"/>
  <c r="AI84" i="87"/>
  <c r="AI85" i="87"/>
  <c r="AI86" i="87"/>
  <c r="AI87" i="87"/>
  <c r="AI88" i="87"/>
  <c r="AI89" i="87"/>
  <c r="AI90" i="87"/>
  <c r="AI91" i="87"/>
  <c r="AI92" i="87"/>
  <c r="AI93" i="87"/>
  <c r="AI94" i="87"/>
  <c r="AI95" i="87"/>
  <c r="AI96" i="87"/>
  <c r="AI97" i="87"/>
  <c r="AI98" i="87"/>
  <c r="AI99" i="87"/>
  <c r="AI100" i="87"/>
  <c r="AI101" i="87"/>
  <c r="AI102" i="87"/>
  <c r="AI103" i="87"/>
  <c r="AI104" i="87"/>
  <c r="AI105" i="87"/>
  <c r="AH6" i="87"/>
  <c r="AH7" i="87"/>
  <c r="AH8" i="87"/>
  <c r="AH9" i="87"/>
  <c r="AH10" i="87"/>
  <c r="AH11" i="87"/>
  <c r="AH12" i="87"/>
  <c r="AH13" i="87"/>
  <c r="AH14" i="87"/>
  <c r="AH15" i="87"/>
  <c r="AH16" i="87"/>
  <c r="AH17" i="87"/>
  <c r="AH18" i="87"/>
  <c r="AH19" i="87"/>
  <c r="AH20" i="87"/>
  <c r="AH21" i="87"/>
  <c r="AH22" i="87"/>
  <c r="AH23" i="87"/>
  <c r="AH24" i="87"/>
  <c r="AH25" i="87"/>
  <c r="AH26" i="87"/>
  <c r="AH27" i="87"/>
  <c r="AH28" i="87"/>
  <c r="AH29" i="87"/>
  <c r="AH30" i="87"/>
  <c r="AH31" i="87"/>
  <c r="AH32" i="87"/>
  <c r="AH33" i="87"/>
  <c r="AH34" i="87"/>
  <c r="AH35" i="87"/>
  <c r="AH36" i="87"/>
  <c r="AH37" i="87"/>
  <c r="AH38" i="87"/>
  <c r="AH39" i="87"/>
  <c r="AH40" i="87"/>
  <c r="AH41" i="87"/>
  <c r="AH42" i="87"/>
  <c r="AH43" i="87"/>
  <c r="AH44" i="87"/>
  <c r="AH45" i="87"/>
  <c r="AH46" i="87"/>
  <c r="AH47" i="87"/>
  <c r="AH48" i="87"/>
  <c r="AH49" i="87"/>
  <c r="AH50" i="87"/>
  <c r="AH51" i="87"/>
  <c r="AH52" i="87"/>
  <c r="AH53" i="87"/>
  <c r="AH54" i="87"/>
  <c r="AH55" i="87"/>
  <c r="AH56" i="87"/>
  <c r="AH57" i="87"/>
  <c r="AH58" i="87"/>
  <c r="AH59" i="87"/>
  <c r="AH60" i="87"/>
  <c r="AH61" i="87"/>
  <c r="AH62" i="87"/>
  <c r="AH63" i="87"/>
  <c r="AH64" i="87"/>
  <c r="AH65" i="87"/>
  <c r="AH66" i="87"/>
  <c r="AH67" i="87"/>
  <c r="AH68" i="87"/>
  <c r="AH69" i="87"/>
  <c r="AH70" i="87"/>
  <c r="AH71" i="87"/>
  <c r="AH72" i="87"/>
  <c r="AH73" i="87"/>
  <c r="AH74" i="87"/>
  <c r="AH75" i="87"/>
  <c r="AH76" i="87"/>
  <c r="AH77" i="87"/>
  <c r="AH78" i="87"/>
  <c r="AH79" i="87"/>
  <c r="AH80" i="87"/>
  <c r="AH81" i="87"/>
  <c r="AH82" i="87"/>
  <c r="AH83" i="87"/>
  <c r="AH84" i="87"/>
  <c r="AH85" i="87"/>
  <c r="AH86" i="87"/>
  <c r="AH87" i="87"/>
  <c r="AH88" i="87"/>
  <c r="AH89" i="87"/>
  <c r="AH90" i="87"/>
  <c r="AH91" i="87"/>
  <c r="AH92" i="87"/>
  <c r="AH93" i="87"/>
  <c r="AH94" i="87"/>
  <c r="AH95" i="87"/>
  <c r="AH96" i="87"/>
  <c r="AH97" i="87"/>
  <c r="AH98" i="87"/>
  <c r="AH99" i="87"/>
  <c r="AH100" i="87"/>
  <c r="AH101" i="87"/>
  <c r="AH102" i="87"/>
  <c r="AH103" i="87"/>
  <c r="AH104" i="87"/>
  <c r="AH105" i="87"/>
  <c r="AK6" i="86"/>
  <c r="AK7" i="86"/>
  <c r="AK8" i="86"/>
  <c r="AK9" i="86"/>
  <c r="AK10" i="86"/>
  <c r="AK11" i="86"/>
  <c r="AK12" i="86"/>
  <c r="AK13" i="86"/>
  <c r="AK14" i="86"/>
  <c r="AK15" i="86"/>
  <c r="AK16" i="86"/>
  <c r="AK17" i="86"/>
  <c r="AK18" i="86"/>
  <c r="AK19" i="86"/>
  <c r="AK20" i="86"/>
  <c r="AK21" i="86"/>
  <c r="AK22" i="86"/>
  <c r="AK23" i="86"/>
  <c r="AK24" i="86"/>
  <c r="AK25" i="86"/>
  <c r="AK26" i="86"/>
  <c r="AK27" i="86"/>
  <c r="AK28" i="86"/>
  <c r="AK29" i="86"/>
  <c r="AK30" i="86"/>
  <c r="AK31" i="86"/>
  <c r="AK32" i="86"/>
  <c r="AK33" i="86"/>
  <c r="AK34" i="86"/>
  <c r="AK35" i="86"/>
  <c r="AK36" i="86"/>
  <c r="AK37" i="86"/>
  <c r="AK38" i="86"/>
  <c r="AK39" i="86"/>
  <c r="AK40" i="86"/>
  <c r="AK41" i="86"/>
  <c r="AK42" i="86"/>
  <c r="AK43" i="86"/>
  <c r="AK44" i="86"/>
  <c r="AK45" i="86"/>
  <c r="AK46" i="86"/>
  <c r="AK47" i="86"/>
  <c r="AK48" i="86"/>
  <c r="AK49" i="86"/>
  <c r="AK50" i="86"/>
  <c r="AK51" i="86"/>
  <c r="AK52" i="86"/>
  <c r="AK53" i="86"/>
  <c r="AK54" i="86"/>
  <c r="AK55" i="86"/>
  <c r="AK56" i="86"/>
  <c r="AK57" i="86"/>
  <c r="AK58" i="86"/>
  <c r="AK59" i="86"/>
  <c r="AK60" i="86"/>
  <c r="AK61" i="86"/>
  <c r="AK62" i="86"/>
  <c r="AK63" i="86"/>
  <c r="AK64" i="86"/>
  <c r="AK65" i="86"/>
  <c r="AK66" i="86"/>
  <c r="AK67" i="86"/>
  <c r="AK68" i="86"/>
  <c r="AK69" i="86"/>
  <c r="AK70" i="86"/>
  <c r="AK71" i="86"/>
  <c r="AK72" i="86"/>
  <c r="AK73" i="86"/>
  <c r="AK74" i="86"/>
  <c r="AK75" i="86"/>
  <c r="AK76" i="86"/>
  <c r="AK77" i="86"/>
  <c r="AK78" i="86"/>
  <c r="AK79" i="86"/>
  <c r="AK80" i="86"/>
  <c r="AK81" i="86"/>
  <c r="AK82" i="86"/>
  <c r="AK83" i="86"/>
  <c r="AK84" i="86"/>
  <c r="AK85" i="86"/>
  <c r="AK86" i="86"/>
  <c r="AK87" i="86"/>
  <c r="AK88" i="86"/>
  <c r="AK89" i="86"/>
  <c r="AK90" i="86"/>
  <c r="AK91" i="86"/>
  <c r="AK92" i="86"/>
  <c r="AK93" i="86"/>
  <c r="AK94" i="86"/>
  <c r="AK95" i="86"/>
  <c r="AK96" i="86"/>
  <c r="AK97" i="86"/>
  <c r="AK98" i="86"/>
  <c r="AK99" i="86"/>
  <c r="AK100" i="86"/>
  <c r="AK101" i="86"/>
  <c r="AK102" i="86"/>
  <c r="AK103" i="86"/>
  <c r="AK104" i="86"/>
  <c r="AK105" i="86"/>
  <c r="AJ6" i="86"/>
  <c r="AJ7" i="86"/>
  <c r="AJ8" i="86"/>
  <c r="AJ9" i="86"/>
  <c r="AJ10" i="86"/>
  <c r="AJ11" i="86"/>
  <c r="AJ12" i="86"/>
  <c r="AJ13" i="86"/>
  <c r="AJ14" i="86"/>
  <c r="AJ15" i="86"/>
  <c r="AJ16" i="86"/>
  <c r="AJ17" i="86"/>
  <c r="AJ18" i="86"/>
  <c r="AJ19" i="86"/>
  <c r="AJ20" i="86"/>
  <c r="AJ21" i="86"/>
  <c r="AJ22" i="86"/>
  <c r="AJ23" i="86"/>
  <c r="AJ24" i="86"/>
  <c r="AJ25" i="86"/>
  <c r="AJ26" i="86"/>
  <c r="AJ27" i="86"/>
  <c r="AJ28" i="86"/>
  <c r="AJ29" i="86"/>
  <c r="AJ30" i="86"/>
  <c r="AJ31" i="86"/>
  <c r="AJ32" i="86"/>
  <c r="AJ33" i="86"/>
  <c r="AJ34" i="86"/>
  <c r="AJ35" i="86"/>
  <c r="AJ36" i="86"/>
  <c r="AJ37" i="86"/>
  <c r="AJ38" i="86"/>
  <c r="AJ39" i="86"/>
  <c r="AJ40" i="86"/>
  <c r="AJ41" i="86"/>
  <c r="AJ42" i="86"/>
  <c r="AJ43" i="86"/>
  <c r="AJ44" i="86"/>
  <c r="AJ45" i="86"/>
  <c r="AJ46" i="86"/>
  <c r="AJ47" i="86"/>
  <c r="AJ48" i="86"/>
  <c r="AJ49" i="86"/>
  <c r="AJ50" i="86"/>
  <c r="AJ51" i="86"/>
  <c r="AJ52" i="86"/>
  <c r="AJ53" i="86"/>
  <c r="AJ54" i="86"/>
  <c r="AJ55" i="86"/>
  <c r="AJ56" i="86"/>
  <c r="AJ57" i="86"/>
  <c r="AJ58" i="86"/>
  <c r="AJ59" i="86"/>
  <c r="AJ60" i="86"/>
  <c r="AJ61" i="86"/>
  <c r="AJ62" i="86"/>
  <c r="AJ63" i="86"/>
  <c r="AJ64" i="86"/>
  <c r="AJ65" i="86"/>
  <c r="AJ66" i="86"/>
  <c r="AJ67" i="86"/>
  <c r="AJ68" i="86"/>
  <c r="AJ69" i="86"/>
  <c r="AJ70" i="86"/>
  <c r="AJ71" i="86"/>
  <c r="AJ72" i="86"/>
  <c r="AJ73" i="86"/>
  <c r="AJ74" i="86"/>
  <c r="AJ75" i="86"/>
  <c r="AJ76" i="86"/>
  <c r="AJ77" i="86"/>
  <c r="AJ78" i="86"/>
  <c r="AJ79" i="86"/>
  <c r="AJ80" i="86"/>
  <c r="AJ81" i="86"/>
  <c r="AJ82" i="86"/>
  <c r="AJ83" i="86"/>
  <c r="AJ84" i="86"/>
  <c r="AJ85" i="86"/>
  <c r="AJ86" i="86"/>
  <c r="AJ87" i="86"/>
  <c r="AJ88" i="86"/>
  <c r="AJ89" i="86"/>
  <c r="AJ90" i="86"/>
  <c r="AJ91" i="86"/>
  <c r="AJ92" i="86"/>
  <c r="AJ93" i="86"/>
  <c r="AJ94" i="86"/>
  <c r="AJ95" i="86"/>
  <c r="AJ96" i="86"/>
  <c r="AJ97" i="86"/>
  <c r="AJ98" i="86"/>
  <c r="AJ99" i="86"/>
  <c r="AJ100" i="86"/>
  <c r="AJ101" i="86"/>
  <c r="AJ102" i="86"/>
  <c r="AJ103" i="86"/>
  <c r="AJ104" i="86"/>
  <c r="AJ105" i="86"/>
  <c r="AI6" i="86"/>
  <c r="AI7" i="86"/>
  <c r="AI8" i="86"/>
  <c r="AI9" i="86"/>
  <c r="AI10" i="86"/>
  <c r="AI11" i="86"/>
  <c r="AI12" i="86"/>
  <c r="AI13" i="86"/>
  <c r="AI14" i="86"/>
  <c r="AI15" i="86"/>
  <c r="AI16" i="86"/>
  <c r="AI17" i="86"/>
  <c r="AI18" i="86"/>
  <c r="AI19" i="86"/>
  <c r="AI20" i="86"/>
  <c r="AI21" i="86"/>
  <c r="AI22" i="86"/>
  <c r="AI23" i="86"/>
  <c r="AI24" i="86"/>
  <c r="AI25" i="86"/>
  <c r="AI26" i="86"/>
  <c r="AI27" i="86"/>
  <c r="AI28" i="86"/>
  <c r="AI29" i="86"/>
  <c r="AI30" i="86"/>
  <c r="AI31" i="86"/>
  <c r="AI32" i="86"/>
  <c r="AI33" i="86"/>
  <c r="AI34" i="86"/>
  <c r="AI35" i="86"/>
  <c r="AI36" i="86"/>
  <c r="AI37" i="86"/>
  <c r="AI38" i="86"/>
  <c r="AI39" i="86"/>
  <c r="AI40" i="86"/>
  <c r="AI41" i="86"/>
  <c r="AI42" i="86"/>
  <c r="AI43" i="86"/>
  <c r="AI44" i="86"/>
  <c r="AI45" i="86"/>
  <c r="AI46" i="86"/>
  <c r="AI47" i="86"/>
  <c r="AI48" i="86"/>
  <c r="AI49" i="86"/>
  <c r="AI50" i="86"/>
  <c r="AI51" i="86"/>
  <c r="AI52" i="86"/>
  <c r="AI53" i="86"/>
  <c r="AI54" i="86"/>
  <c r="AI55" i="86"/>
  <c r="AI56" i="86"/>
  <c r="AI57" i="86"/>
  <c r="AI58" i="86"/>
  <c r="AI59" i="86"/>
  <c r="AI60" i="86"/>
  <c r="AI61" i="86"/>
  <c r="AI62" i="86"/>
  <c r="AI63" i="86"/>
  <c r="AI64" i="86"/>
  <c r="AI65" i="86"/>
  <c r="AI66" i="86"/>
  <c r="AI67" i="86"/>
  <c r="AI68" i="86"/>
  <c r="AI69" i="86"/>
  <c r="AI70" i="86"/>
  <c r="AI71" i="86"/>
  <c r="AI72" i="86"/>
  <c r="AI73" i="86"/>
  <c r="AI74" i="86"/>
  <c r="AI75" i="86"/>
  <c r="AI76" i="86"/>
  <c r="AI77" i="86"/>
  <c r="AI78" i="86"/>
  <c r="AI79" i="86"/>
  <c r="AI80" i="86"/>
  <c r="AI81" i="86"/>
  <c r="AI82" i="86"/>
  <c r="AI83" i="86"/>
  <c r="AI84" i="86"/>
  <c r="AI85" i="86"/>
  <c r="AI86" i="86"/>
  <c r="AI87" i="86"/>
  <c r="AI88" i="86"/>
  <c r="AI89" i="86"/>
  <c r="AI90" i="86"/>
  <c r="AI91" i="86"/>
  <c r="AI92" i="86"/>
  <c r="AI93" i="86"/>
  <c r="AI94" i="86"/>
  <c r="AI95" i="86"/>
  <c r="AI96" i="86"/>
  <c r="AI97" i="86"/>
  <c r="AI98" i="86"/>
  <c r="AI99" i="86"/>
  <c r="AI100" i="86"/>
  <c r="AI101" i="86"/>
  <c r="AI102" i="86"/>
  <c r="AI103" i="86"/>
  <c r="AI104" i="86"/>
  <c r="AI105" i="86"/>
  <c r="AH6" i="86"/>
  <c r="AH7" i="86"/>
  <c r="AH8" i="86"/>
  <c r="AH9" i="86"/>
  <c r="AH10" i="86"/>
  <c r="AH11" i="86"/>
  <c r="AH12" i="86"/>
  <c r="AH13" i="86"/>
  <c r="AH14" i="86"/>
  <c r="AH15" i="86"/>
  <c r="AH16" i="86"/>
  <c r="AH17" i="86"/>
  <c r="AH18" i="86"/>
  <c r="AH19" i="86"/>
  <c r="AH20" i="86"/>
  <c r="AH21" i="86"/>
  <c r="AH22" i="86"/>
  <c r="AH23" i="86"/>
  <c r="AH24" i="86"/>
  <c r="AH25" i="86"/>
  <c r="AH26" i="86"/>
  <c r="AH27" i="86"/>
  <c r="AH28" i="86"/>
  <c r="AH29" i="86"/>
  <c r="AH30" i="86"/>
  <c r="AH31" i="86"/>
  <c r="AH32" i="86"/>
  <c r="AH33" i="86"/>
  <c r="AH34" i="86"/>
  <c r="AH35" i="86"/>
  <c r="AH36" i="86"/>
  <c r="AH37" i="86"/>
  <c r="AH38" i="86"/>
  <c r="AH39" i="86"/>
  <c r="AH40" i="86"/>
  <c r="AH41" i="86"/>
  <c r="AH42" i="86"/>
  <c r="AH43" i="86"/>
  <c r="AH44" i="86"/>
  <c r="AH45" i="86"/>
  <c r="AH46" i="86"/>
  <c r="AH47" i="86"/>
  <c r="AH48" i="86"/>
  <c r="AH49" i="86"/>
  <c r="AH50" i="86"/>
  <c r="AH51" i="86"/>
  <c r="AH52" i="86"/>
  <c r="AH53" i="86"/>
  <c r="AH54" i="86"/>
  <c r="AH55" i="86"/>
  <c r="AH56" i="86"/>
  <c r="AH57" i="86"/>
  <c r="AH58" i="86"/>
  <c r="AH59" i="86"/>
  <c r="AH60" i="86"/>
  <c r="AH61" i="86"/>
  <c r="AH62" i="86"/>
  <c r="AH63" i="86"/>
  <c r="AH64" i="86"/>
  <c r="AH65" i="86"/>
  <c r="AH66" i="86"/>
  <c r="AH67" i="86"/>
  <c r="AH68" i="86"/>
  <c r="AH69" i="86"/>
  <c r="AH70" i="86"/>
  <c r="AH71" i="86"/>
  <c r="AH72" i="86"/>
  <c r="AH73" i="86"/>
  <c r="AH74" i="86"/>
  <c r="AH75" i="86"/>
  <c r="AH76" i="86"/>
  <c r="AH77" i="86"/>
  <c r="AH78" i="86"/>
  <c r="AH79" i="86"/>
  <c r="AH80" i="86"/>
  <c r="AH81" i="86"/>
  <c r="AH82" i="86"/>
  <c r="AH83" i="86"/>
  <c r="AH84" i="86"/>
  <c r="AH85" i="86"/>
  <c r="AH86" i="86"/>
  <c r="AH87" i="86"/>
  <c r="AH88" i="86"/>
  <c r="AH89" i="86"/>
  <c r="AH90" i="86"/>
  <c r="AH91" i="86"/>
  <c r="AH92" i="86"/>
  <c r="AH93" i="86"/>
  <c r="AH94" i="86"/>
  <c r="AH95" i="86"/>
  <c r="AH96" i="86"/>
  <c r="AH97" i="86"/>
  <c r="AH98" i="86"/>
  <c r="AH99" i="86"/>
  <c r="AH100" i="86"/>
  <c r="AH101" i="86"/>
  <c r="AH102" i="86"/>
  <c r="AH103" i="86"/>
  <c r="AH104" i="86"/>
  <c r="AH105" i="86"/>
  <c r="AK6" i="85"/>
  <c r="AK7" i="85"/>
  <c r="AK8" i="85"/>
  <c r="AK9" i="85"/>
  <c r="AK10" i="85"/>
  <c r="AK11" i="85"/>
  <c r="AK12" i="85"/>
  <c r="AK13" i="85"/>
  <c r="AK14" i="85"/>
  <c r="AK15" i="85"/>
  <c r="AK16" i="85"/>
  <c r="AK17" i="85"/>
  <c r="AK18" i="85"/>
  <c r="AK19" i="85"/>
  <c r="AK20" i="85"/>
  <c r="AK21" i="85"/>
  <c r="AK22" i="85"/>
  <c r="AK23" i="85"/>
  <c r="AK24" i="85"/>
  <c r="AK25" i="85"/>
  <c r="AK26" i="85"/>
  <c r="AK27" i="85"/>
  <c r="AK28" i="85"/>
  <c r="AK29" i="85"/>
  <c r="AK30" i="85"/>
  <c r="AK31" i="85"/>
  <c r="AK32" i="85"/>
  <c r="AK33" i="85"/>
  <c r="AK34" i="85"/>
  <c r="AK35" i="85"/>
  <c r="AK36" i="85"/>
  <c r="AK37" i="85"/>
  <c r="AK38" i="85"/>
  <c r="AK39" i="85"/>
  <c r="AK40" i="85"/>
  <c r="AK41" i="85"/>
  <c r="AK42" i="85"/>
  <c r="AK43" i="85"/>
  <c r="AK44" i="85"/>
  <c r="AK45" i="85"/>
  <c r="AK46" i="85"/>
  <c r="AK47" i="85"/>
  <c r="AK48" i="85"/>
  <c r="AK49" i="85"/>
  <c r="AK50" i="85"/>
  <c r="AK51" i="85"/>
  <c r="AK52" i="85"/>
  <c r="AK53" i="85"/>
  <c r="AK54" i="85"/>
  <c r="AK55" i="85"/>
  <c r="AK56" i="85"/>
  <c r="AK57" i="85"/>
  <c r="AK58" i="85"/>
  <c r="AK59" i="85"/>
  <c r="AK60" i="85"/>
  <c r="AK61" i="85"/>
  <c r="AK62" i="85"/>
  <c r="AK63" i="85"/>
  <c r="AK64" i="85"/>
  <c r="AK65" i="85"/>
  <c r="AK66" i="85"/>
  <c r="AK67" i="85"/>
  <c r="AK68" i="85"/>
  <c r="AK69" i="85"/>
  <c r="AK70" i="85"/>
  <c r="AK71" i="85"/>
  <c r="AK72" i="85"/>
  <c r="AK73" i="85"/>
  <c r="AK74" i="85"/>
  <c r="AK75" i="85"/>
  <c r="AK76" i="85"/>
  <c r="AK77" i="85"/>
  <c r="AK78" i="85"/>
  <c r="AK79" i="85"/>
  <c r="AK80" i="85"/>
  <c r="AK81" i="85"/>
  <c r="AK82" i="85"/>
  <c r="AK83" i="85"/>
  <c r="AK84" i="85"/>
  <c r="AK85" i="85"/>
  <c r="AK86" i="85"/>
  <c r="AK87" i="85"/>
  <c r="AK88" i="85"/>
  <c r="AK89" i="85"/>
  <c r="AK90" i="85"/>
  <c r="AK91" i="85"/>
  <c r="AK92" i="85"/>
  <c r="AK93" i="85"/>
  <c r="AK94" i="85"/>
  <c r="AK95" i="85"/>
  <c r="AK96" i="85"/>
  <c r="AK97" i="85"/>
  <c r="AK98" i="85"/>
  <c r="AK99" i="85"/>
  <c r="AK100" i="85"/>
  <c r="AK101" i="85"/>
  <c r="AK102" i="85"/>
  <c r="AK103" i="85"/>
  <c r="AK104" i="85"/>
  <c r="AK105" i="85"/>
  <c r="AJ6" i="85"/>
  <c r="AJ7" i="85"/>
  <c r="AJ8" i="85"/>
  <c r="AJ9" i="85"/>
  <c r="AJ10" i="85"/>
  <c r="AJ11" i="85"/>
  <c r="AJ12" i="85"/>
  <c r="AJ13" i="85"/>
  <c r="AJ14" i="85"/>
  <c r="AJ15" i="85"/>
  <c r="AJ16" i="85"/>
  <c r="AJ17" i="85"/>
  <c r="AJ18" i="85"/>
  <c r="AJ19" i="85"/>
  <c r="AJ20" i="85"/>
  <c r="AJ21" i="85"/>
  <c r="AJ22" i="85"/>
  <c r="AJ23" i="85"/>
  <c r="AJ24" i="85"/>
  <c r="AJ25" i="85"/>
  <c r="AJ26" i="85"/>
  <c r="AJ27" i="85"/>
  <c r="AJ28" i="85"/>
  <c r="AJ29" i="85"/>
  <c r="AJ30" i="85"/>
  <c r="AJ31" i="85"/>
  <c r="AJ32" i="85"/>
  <c r="AJ33" i="85"/>
  <c r="AJ34" i="85"/>
  <c r="AJ35" i="85"/>
  <c r="AJ36" i="85"/>
  <c r="AJ37" i="85"/>
  <c r="AJ38" i="85"/>
  <c r="AJ39" i="85"/>
  <c r="AJ40" i="85"/>
  <c r="AJ41" i="85"/>
  <c r="AJ42" i="85"/>
  <c r="AJ43" i="85"/>
  <c r="AJ44" i="85"/>
  <c r="AJ45" i="85"/>
  <c r="AJ46" i="85"/>
  <c r="AJ47" i="85"/>
  <c r="AJ48" i="85"/>
  <c r="AJ49" i="85"/>
  <c r="AJ50" i="85"/>
  <c r="AJ51" i="85"/>
  <c r="AJ52" i="85"/>
  <c r="AJ53" i="85"/>
  <c r="AJ54" i="85"/>
  <c r="AJ55" i="85"/>
  <c r="AJ56" i="85"/>
  <c r="AJ57" i="85"/>
  <c r="AJ58" i="85"/>
  <c r="AJ59" i="85"/>
  <c r="AJ60" i="85"/>
  <c r="AJ61" i="85"/>
  <c r="AJ62" i="85"/>
  <c r="AJ63" i="85"/>
  <c r="AJ64" i="85"/>
  <c r="AJ65" i="85"/>
  <c r="AJ66" i="85"/>
  <c r="AJ67" i="85"/>
  <c r="AJ68" i="85"/>
  <c r="AJ69" i="85"/>
  <c r="AJ70" i="85"/>
  <c r="AJ71" i="85"/>
  <c r="AJ72" i="85"/>
  <c r="AJ73" i="85"/>
  <c r="AJ74" i="85"/>
  <c r="AJ75" i="85"/>
  <c r="AJ76" i="85"/>
  <c r="AJ77" i="85"/>
  <c r="AJ78" i="85"/>
  <c r="AJ79" i="85"/>
  <c r="AJ80" i="85"/>
  <c r="AJ81" i="85"/>
  <c r="AJ82" i="85"/>
  <c r="AJ83" i="85"/>
  <c r="AJ84" i="85"/>
  <c r="AJ85" i="85"/>
  <c r="AJ86" i="85"/>
  <c r="AJ87" i="85"/>
  <c r="AJ88" i="85"/>
  <c r="AJ89" i="85"/>
  <c r="AJ90" i="85"/>
  <c r="AJ91" i="85"/>
  <c r="AJ92" i="85"/>
  <c r="AJ93" i="85"/>
  <c r="AJ94" i="85"/>
  <c r="AJ95" i="85"/>
  <c r="AJ96" i="85"/>
  <c r="AJ97" i="85"/>
  <c r="AJ98" i="85"/>
  <c r="AJ99" i="85"/>
  <c r="AJ100" i="85"/>
  <c r="AJ101" i="85"/>
  <c r="AJ102" i="85"/>
  <c r="AJ103" i="85"/>
  <c r="AJ104" i="85"/>
  <c r="AJ105" i="85"/>
  <c r="AI6" i="85"/>
  <c r="AI7" i="85"/>
  <c r="AI8" i="85"/>
  <c r="AI9" i="85"/>
  <c r="AI10" i="85"/>
  <c r="AI11" i="85"/>
  <c r="AI12" i="85"/>
  <c r="AI13" i="85"/>
  <c r="AI14" i="85"/>
  <c r="AI15" i="85"/>
  <c r="AI16" i="85"/>
  <c r="AI17" i="85"/>
  <c r="AI18" i="85"/>
  <c r="AI19" i="85"/>
  <c r="AI20" i="85"/>
  <c r="AI21" i="85"/>
  <c r="AI22" i="85"/>
  <c r="AI23" i="85"/>
  <c r="AI24" i="85"/>
  <c r="AI25" i="85"/>
  <c r="AI26" i="85"/>
  <c r="AI27" i="85"/>
  <c r="AI28" i="85"/>
  <c r="AI29" i="85"/>
  <c r="AI30" i="85"/>
  <c r="AI31" i="85"/>
  <c r="AI32" i="85"/>
  <c r="AI33" i="85"/>
  <c r="AI34" i="85"/>
  <c r="AI35" i="85"/>
  <c r="AI36" i="85"/>
  <c r="AI37" i="85"/>
  <c r="AI38" i="85"/>
  <c r="AI39" i="85"/>
  <c r="AI40" i="85"/>
  <c r="AI41" i="85"/>
  <c r="AI42" i="85"/>
  <c r="AI43" i="85"/>
  <c r="AI44" i="85"/>
  <c r="AI45" i="85"/>
  <c r="AI46" i="85"/>
  <c r="AI47" i="85"/>
  <c r="AI48" i="85"/>
  <c r="AI49" i="85"/>
  <c r="AI50" i="85"/>
  <c r="AI51" i="85"/>
  <c r="AI52" i="85"/>
  <c r="AI53" i="85"/>
  <c r="AI54" i="85"/>
  <c r="AI55" i="85"/>
  <c r="AI56" i="85"/>
  <c r="AI57" i="85"/>
  <c r="AI58" i="85"/>
  <c r="AI59" i="85"/>
  <c r="AI60" i="85"/>
  <c r="AI61" i="85"/>
  <c r="AI62" i="85"/>
  <c r="AI63" i="85"/>
  <c r="AI64" i="85"/>
  <c r="AI65" i="85"/>
  <c r="AI66" i="85"/>
  <c r="AI67" i="85"/>
  <c r="AI68" i="85"/>
  <c r="AI69" i="85"/>
  <c r="AI70" i="85"/>
  <c r="AI71" i="85"/>
  <c r="AI72" i="85"/>
  <c r="AI73" i="85"/>
  <c r="AI74" i="85"/>
  <c r="AI75" i="85"/>
  <c r="AI76" i="85"/>
  <c r="AI77" i="85"/>
  <c r="AI78" i="85"/>
  <c r="AI79" i="85"/>
  <c r="AI80" i="85"/>
  <c r="AI81" i="85"/>
  <c r="AI82" i="85"/>
  <c r="AI83" i="85"/>
  <c r="AI84" i="85"/>
  <c r="AI85" i="85"/>
  <c r="AI86" i="85"/>
  <c r="AI87" i="85"/>
  <c r="AI88" i="85"/>
  <c r="AI89" i="85"/>
  <c r="AI90" i="85"/>
  <c r="AI91" i="85"/>
  <c r="AI92" i="85"/>
  <c r="AI93" i="85"/>
  <c r="AI94" i="85"/>
  <c r="AI95" i="85"/>
  <c r="AI96" i="85"/>
  <c r="AI97" i="85"/>
  <c r="AI98" i="85"/>
  <c r="AI99" i="85"/>
  <c r="AI100" i="85"/>
  <c r="AI101" i="85"/>
  <c r="AI102" i="85"/>
  <c r="AI103" i="85"/>
  <c r="AI104" i="85"/>
  <c r="AI105" i="85"/>
  <c r="AH6" i="85"/>
  <c r="AH7" i="85"/>
  <c r="AH8" i="85"/>
  <c r="AH9" i="85"/>
  <c r="AH10" i="85"/>
  <c r="AH11" i="85"/>
  <c r="AH12" i="85"/>
  <c r="AH13" i="85"/>
  <c r="AH14" i="85"/>
  <c r="AH15" i="85"/>
  <c r="AH16" i="85"/>
  <c r="AH17" i="85"/>
  <c r="AH18" i="85"/>
  <c r="AH19" i="85"/>
  <c r="AH20" i="85"/>
  <c r="AH21" i="85"/>
  <c r="AH22" i="85"/>
  <c r="AH23" i="85"/>
  <c r="AH24" i="85"/>
  <c r="AH25" i="85"/>
  <c r="AH26" i="85"/>
  <c r="AH27" i="85"/>
  <c r="AH28" i="85"/>
  <c r="AH29" i="85"/>
  <c r="AH30" i="85"/>
  <c r="AH31" i="85"/>
  <c r="AH32" i="85"/>
  <c r="AH33" i="85"/>
  <c r="AH34" i="85"/>
  <c r="AH35" i="85"/>
  <c r="AH36" i="85"/>
  <c r="AH37" i="85"/>
  <c r="AH38" i="85"/>
  <c r="AH39" i="85"/>
  <c r="AH40" i="85"/>
  <c r="AH41" i="85"/>
  <c r="AH42" i="85"/>
  <c r="AH43" i="85"/>
  <c r="AH44" i="85"/>
  <c r="AH45" i="85"/>
  <c r="AH46" i="85"/>
  <c r="AH47" i="85"/>
  <c r="AH48" i="85"/>
  <c r="AH49" i="85"/>
  <c r="AH50" i="85"/>
  <c r="AH51" i="85"/>
  <c r="AH52" i="85"/>
  <c r="AH53" i="85"/>
  <c r="AH54" i="85"/>
  <c r="AH55" i="85"/>
  <c r="AH56" i="85"/>
  <c r="AH57" i="85"/>
  <c r="AH58" i="85"/>
  <c r="AH59" i="85"/>
  <c r="AH60" i="85"/>
  <c r="AH61" i="85"/>
  <c r="AH62" i="85"/>
  <c r="AH63" i="85"/>
  <c r="AH64" i="85"/>
  <c r="AH65" i="85"/>
  <c r="AH66" i="85"/>
  <c r="AH67" i="85"/>
  <c r="AH68" i="85"/>
  <c r="AH69" i="85"/>
  <c r="AH70" i="85"/>
  <c r="AH71" i="85"/>
  <c r="AH72" i="85"/>
  <c r="AH73" i="85"/>
  <c r="AH74" i="85"/>
  <c r="AH75" i="85"/>
  <c r="AH76" i="85"/>
  <c r="AH77" i="85"/>
  <c r="AH78" i="85"/>
  <c r="AH79" i="85"/>
  <c r="AH80" i="85"/>
  <c r="AH81" i="85"/>
  <c r="AH82" i="85"/>
  <c r="AH83" i="85"/>
  <c r="AH84" i="85"/>
  <c r="AH85" i="85"/>
  <c r="AH86" i="85"/>
  <c r="AH87" i="85"/>
  <c r="AH88" i="85"/>
  <c r="AH89" i="85"/>
  <c r="AH90" i="85"/>
  <c r="AH91" i="85"/>
  <c r="AH92" i="85"/>
  <c r="AH93" i="85"/>
  <c r="AH94" i="85"/>
  <c r="AH95" i="85"/>
  <c r="AH96" i="85"/>
  <c r="AH97" i="85"/>
  <c r="AH98" i="85"/>
  <c r="AH99" i="85"/>
  <c r="AH100" i="85"/>
  <c r="AH101" i="85"/>
  <c r="AH102" i="85"/>
  <c r="AH103" i="85"/>
  <c r="AH104" i="85"/>
  <c r="AH105" i="85"/>
  <c r="AK6" i="84"/>
  <c r="AK7" i="84"/>
  <c r="AK8" i="84"/>
  <c r="AK9" i="84"/>
  <c r="AK10" i="84"/>
  <c r="AK11" i="84"/>
  <c r="AK12" i="84"/>
  <c r="AK13" i="84"/>
  <c r="AK14" i="84"/>
  <c r="AK15" i="84"/>
  <c r="AK16" i="84"/>
  <c r="AK17" i="84"/>
  <c r="AK18" i="84"/>
  <c r="AK19" i="84"/>
  <c r="AK20" i="84"/>
  <c r="AK21" i="84"/>
  <c r="AK22" i="84"/>
  <c r="AK23" i="84"/>
  <c r="AK24" i="84"/>
  <c r="AK25" i="84"/>
  <c r="AK26" i="84"/>
  <c r="AK27" i="84"/>
  <c r="AK28" i="84"/>
  <c r="AK29" i="84"/>
  <c r="AK30" i="84"/>
  <c r="AK31" i="84"/>
  <c r="AK32" i="84"/>
  <c r="AK33" i="84"/>
  <c r="AK34" i="84"/>
  <c r="AK35" i="84"/>
  <c r="AK36" i="84"/>
  <c r="AK37" i="84"/>
  <c r="AK38" i="84"/>
  <c r="AK39" i="84"/>
  <c r="AK40" i="84"/>
  <c r="AK41" i="84"/>
  <c r="AK42" i="84"/>
  <c r="AK43" i="84"/>
  <c r="AK44" i="84"/>
  <c r="AK45" i="84"/>
  <c r="AK46" i="84"/>
  <c r="AK47" i="84"/>
  <c r="AK48" i="84"/>
  <c r="AK49" i="84"/>
  <c r="AK50" i="84"/>
  <c r="AK51" i="84"/>
  <c r="AK52" i="84"/>
  <c r="AK53" i="84"/>
  <c r="AK54" i="84"/>
  <c r="AK55" i="84"/>
  <c r="AK56" i="84"/>
  <c r="AK57" i="84"/>
  <c r="AK58" i="84"/>
  <c r="AK59" i="84"/>
  <c r="AK60" i="84"/>
  <c r="AK61" i="84"/>
  <c r="AK62" i="84"/>
  <c r="AK63" i="84"/>
  <c r="AK64" i="84"/>
  <c r="AK65" i="84"/>
  <c r="AK66" i="84"/>
  <c r="AK67" i="84"/>
  <c r="AK68" i="84"/>
  <c r="AK69" i="84"/>
  <c r="AK70" i="84"/>
  <c r="AK71" i="84"/>
  <c r="AK72" i="84"/>
  <c r="AK73" i="84"/>
  <c r="AK74" i="84"/>
  <c r="AK75" i="84"/>
  <c r="AK76" i="84"/>
  <c r="AK77" i="84"/>
  <c r="AK78" i="84"/>
  <c r="AK79" i="84"/>
  <c r="AK80" i="84"/>
  <c r="AK81" i="84"/>
  <c r="AK82" i="84"/>
  <c r="AK83" i="84"/>
  <c r="AK84" i="84"/>
  <c r="AK85" i="84"/>
  <c r="AK86" i="84"/>
  <c r="AK87" i="84"/>
  <c r="AK88" i="84"/>
  <c r="AK89" i="84"/>
  <c r="AK90" i="84"/>
  <c r="AK91" i="84"/>
  <c r="AK92" i="84"/>
  <c r="AK93" i="84"/>
  <c r="AK94" i="84"/>
  <c r="AK95" i="84"/>
  <c r="AK96" i="84"/>
  <c r="AK97" i="84"/>
  <c r="AK98" i="84"/>
  <c r="AK99" i="84"/>
  <c r="AK100" i="84"/>
  <c r="AK101" i="84"/>
  <c r="AK102" i="84"/>
  <c r="AK103" i="84"/>
  <c r="AK104" i="84"/>
  <c r="AK105" i="84"/>
  <c r="AJ6" i="84"/>
  <c r="AJ7" i="84"/>
  <c r="AJ8" i="84"/>
  <c r="AJ9" i="84"/>
  <c r="AJ10" i="84"/>
  <c r="AJ11" i="84"/>
  <c r="AJ12" i="84"/>
  <c r="AJ13" i="84"/>
  <c r="AJ14" i="84"/>
  <c r="AJ15" i="84"/>
  <c r="AJ16" i="84"/>
  <c r="AJ17" i="84"/>
  <c r="AJ18" i="84"/>
  <c r="AJ19" i="84"/>
  <c r="AJ20" i="84"/>
  <c r="AJ21" i="84"/>
  <c r="AJ22" i="84"/>
  <c r="AJ23" i="84"/>
  <c r="AJ24" i="84"/>
  <c r="AJ25" i="84"/>
  <c r="AJ26" i="84"/>
  <c r="AJ27" i="84"/>
  <c r="AJ28" i="84"/>
  <c r="AJ29" i="84"/>
  <c r="AJ30" i="84"/>
  <c r="AJ31" i="84"/>
  <c r="AJ32" i="84"/>
  <c r="AJ33" i="84"/>
  <c r="AJ34" i="84"/>
  <c r="AJ35" i="84"/>
  <c r="AJ36" i="84"/>
  <c r="AJ37" i="84"/>
  <c r="AJ38" i="84"/>
  <c r="AJ39" i="84"/>
  <c r="AJ40" i="84"/>
  <c r="AJ41" i="84"/>
  <c r="AJ42" i="84"/>
  <c r="AJ43" i="84"/>
  <c r="AJ44" i="84"/>
  <c r="AJ45" i="84"/>
  <c r="AJ46" i="84"/>
  <c r="AJ47" i="84"/>
  <c r="AJ48" i="84"/>
  <c r="AJ49" i="84"/>
  <c r="AJ50" i="84"/>
  <c r="AJ51" i="84"/>
  <c r="AJ52" i="84"/>
  <c r="AJ53" i="84"/>
  <c r="AJ54" i="84"/>
  <c r="AJ55" i="84"/>
  <c r="AJ56" i="84"/>
  <c r="AJ57" i="84"/>
  <c r="AJ58" i="84"/>
  <c r="AJ59" i="84"/>
  <c r="AJ60" i="84"/>
  <c r="AJ61" i="84"/>
  <c r="AJ62" i="84"/>
  <c r="AJ63" i="84"/>
  <c r="AJ64" i="84"/>
  <c r="AJ65" i="84"/>
  <c r="AJ66" i="84"/>
  <c r="AJ67" i="84"/>
  <c r="AJ68" i="84"/>
  <c r="AJ69" i="84"/>
  <c r="AJ70" i="84"/>
  <c r="AJ71" i="84"/>
  <c r="AJ72" i="84"/>
  <c r="AJ73" i="84"/>
  <c r="AJ74" i="84"/>
  <c r="AJ75" i="84"/>
  <c r="AJ76" i="84"/>
  <c r="AJ77" i="84"/>
  <c r="AJ78" i="84"/>
  <c r="AJ79" i="84"/>
  <c r="AJ80" i="84"/>
  <c r="AJ81" i="84"/>
  <c r="AJ82" i="84"/>
  <c r="AJ83" i="84"/>
  <c r="AJ84" i="84"/>
  <c r="AJ85" i="84"/>
  <c r="AJ86" i="84"/>
  <c r="AJ87" i="84"/>
  <c r="AJ88" i="84"/>
  <c r="AJ89" i="84"/>
  <c r="AJ90" i="84"/>
  <c r="AJ91" i="84"/>
  <c r="AJ92" i="84"/>
  <c r="AJ93" i="84"/>
  <c r="AJ94" i="84"/>
  <c r="AJ95" i="84"/>
  <c r="AJ96" i="84"/>
  <c r="AJ97" i="84"/>
  <c r="AJ98" i="84"/>
  <c r="AJ99" i="84"/>
  <c r="AJ100" i="84"/>
  <c r="AJ101" i="84"/>
  <c r="AJ102" i="84"/>
  <c r="AJ103" i="84"/>
  <c r="AJ104" i="84"/>
  <c r="AJ105" i="84"/>
  <c r="AI6" i="84"/>
  <c r="AI7" i="84"/>
  <c r="AI8" i="84"/>
  <c r="AI9" i="84"/>
  <c r="AI10" i="84"/>
  <c r="AI11" i="84"/>
  <c r="AI12" i="84"/>
  <c r="AI13" i="84"/>
  <c r="AI14" i="84"/>
  <c r="AI15" i="84"/>
  <c r="AI16" i="84"/>
  <c r="AI17" i="84"/>
  <c r="AI18" i="84"/>
  <c r="AI19" i="84"/>
  <c r="AI20" i="84"/>
  <c r="AI21" i="84"/>
  <c r="AI22" i="84"/>
  <c r="AI23" i="84"/>
  <c r="AI24" i="84"/>
  <c r="AI25" i="84"/>
  <c r="AI26" i="84"/>
  <c r="AI27" i="84"/>
  <c r="AI28" i="84"/>
  <c r="AI29" i="84"/>
  <c r="AI30" i="84"/>
  <c r="AI31" i="84"/>
  <c r="AI32" i="84"/>
  <c r="AI33" i="84"/>
  <c r="AI34" i="84"/>
  <c r="AI35" i="84"/>
  <c r="AI36" i="84"/>
  <c r="AI37" i="84"/>
  <c r="AI38" i="84"/>
  <c r="AI39" i="84"/>
  <c r="AI40" i="84"/>
  <c r="AI41" i="84"/>
  <c r="AI42" i="84"/>
  <c r="AI43" i="84"/>
  <c r="AI44" i="84"/>
  <c r="AI45" i="84"/>
  <c r="AI46" i="84"/>
  <c r="AI47" i="84"/>
  <c r="AI48" i="84"/>
  <c r="AI49" i="84"/>
  <c r="AI50" i="84"/>
  <c r="AI51" i="84"/>
  <c r="AI52" i="84"/>
  <c r="AI53" i="84"/>
  <c r="AI54" i="84"/>
  <c r="AI55" i="84"/>
  <c r="AI56" i="84"/>
  <c r="AI57" i="84"/>
  <c r="AI58" i="84"/>
  <c r="AI59" i="84"/>
  <c r="AI60" i="84"/>
  <c r="AI61" i="84"/>
  <c r="AI62" i="84"/>
  <c r="AI63" i="84"/>
  <c r="AI64" i="84"/>
  <c r="AI65" i="84"/>
  <c r="AI66" i="84"/>
  <c r="AI67" i="84"/>
  <c r="AI68" i="84"/>
  <c r="AI69" i="84"/>
  <c r="AI70" i="84"/>
  <c r="AI71" i="84"/>
  <c r="AI72" i="84"/>
  <c r="AI73" i="84"/>
  <c r="AI74" i="84"/>
  <c r="AI75" i="84"/>
  <c r="AI76" i="84"/>
  <c r="AI77" i="84"/>
  <c r="AI78" i="84"/>
  <c r="AI79" i="84"/>
  <c r="AI80" i="84"/>
  <c r="AI81" i="84"/>
  <c r="AI82" i="84"/>
  <c r="AI83" i="84"/>
  <c r="AI84" i="84"/>
  <c r="AI85" i="84"/>
  <c r="AI86" i="84"/>
  <c r="AI87" i="84"/>
  <c r="AI88" i="84"/>
  <c r="AI89" i="84"/>
  <c r="AI90" i="84"/>
  <c r="AI91" i="84"/>
  <c r="AI92" i="84"/>
  <c r="AI93" i="84"/>
  <c r="AI94" i="84"/>
  <c r="AI95" i="84"/>
  <c r="AI96" i="84"/>
  <c r="AI97" i="84"/>
  <c r="AI98" i="84"/>
  <c r="AI99" i="84"/>
  <c r="AI100" i="84"/>
  <c r="AI101" i="84"/>
  <c r="AI102" i="84"/>
  <c r="AI103" i="84"/>
  <c r="AI104" i="84"/>
  <c r="AI105" i="84"/>
  <c r="AH6" i="84"/>
  <c r="AH7" i="84"/>
  <c r="AH8" i="84"/>
  <c r="AH9" i="84"/>
  <c r="AH10" i="84"/>
  <c r="AH11" i="84"/>
  <c r="AH12" i="84"/>
  <c r="AH13" i="84"/>
  <c r="AH14" i="84"/>
  <c r="AH15" i="84"/>
  <c r="AH16" i="84"/>
  <c r="AH17" i="84"/>
  <c r="AH18" i="84"/>
  <c r="AH19" i="84"/>
  <c r="AH20" i="84"/>
  <c r="AH21" i="84"/>
  <c r="AH22" i="84"/>
  <c r="AH23" i="84"/>
  <c r="AH24" i="84"/>
  <c r="AH25" i="84"/>
  <c r="AH26" i="84"/>
  <c r="AH27" i="84"/>
  <c r="AH28" i="84"/>
  <c r="AH29" i="84"/>
  <c r="AH30" i="84"/>
  <c r="AH31" i="84"/>
  <c r="AH32" i="84"/>
  <c r="AH33" i="84"/>
  <c r="AH34" i="84"/>
  <c r="AH35" i="84"/>
  <c r="AH36" i="84"/>
  <c r="AH37" i="84"/>
  <c r="AH38" i="84"/>
  <c r="AH39" i="84"/>
  <c r="AH40" i="84"/>
  <c r="AH41" i="84"/>
  <c r="AH42" i="84"/>
  <c r="AH43" i="84"/>
  <c r="AH44" i="84"/>
  <c r="AH45" i="84"/>
  <c r="AH46" i="84"/>
  <c r="AH47" i="84"/>
  <c r="AH48" i="84"/>
  <c r="AH49" i="84"/>
  <c r="AH50" i="84"/>
  <c r="AH51" i="84"/>
  <c r="AH52" i="84"/>
  <c r="AH53" i="84"/>
  <c r="AH54" i="84"/>
  <c r="AH55" i="84"/>
  <c r="AH56" i="84"/>
  <c r="AH57" i="84"/>
  <c r="AH58" i="84"/>
  <c r="AH59" i="84"/>
  <c r="AH60" i="84"/>
  <c r="AH61" i="84"/>
  <c r="AH62" i="84"/>
  <c r="AH63" i="84"/>
  <c r="AH64" i="84"/>
  <c r="AH65" i="84"/>
  <c r="AH66" i="84"/>
  <c r="AH67" i="84"/>
  <c r="AH68" i="84"/>
  <c r="AH69" i="84"/>
  <c r="AH70" i="84"/>
  <c r="AH71" i="84"/>
  <c r="AH72" i="84"/>
  <c r="AH73" i="84"/>
  <c r="AH74" i="84"/>
  <c r="AH75" i="84"/>
  <c r="AH76" i="84"/>
  <c r="AH77" i="84"/>
  <c r="AH78" i="84"/>
  <c r="AH79" i="84"/>
  <c r="AH80" i="84"/>
  <c r="AH81" i="84"/>
  <c r="AH82" i="84"/>
  <c r="AH83" i="84"/>
  <c r="AH84" i="84"/>
  <c r="AH85" i="84"/>
  <c r="AH86" i="84"/>
  <c r="AH87" i="84"/>
  <c r="AH88" i="84"/>
  <c r="AH89" i="84"/>
  <c r="AH90" i="84"/>
  <c r="AH91" i="84"/>
  <c r="AH92" i="84"/>
  <c r="AH93" i="84"/>
  <c r="AH94" i="84"/>
  <c r="AH95" i="84"/>
  <c r="AH96" i="84"/>
  <c r="AH97" i="84"/>
  <c r="AH98" i="84"/>
  <c r="AH99" i="84"/>
  <c r="AH100" i="84"/>
  <c r="AH101" i="84"/>
  <c r="AH102" i="84"/>
  <c r="AH103" i="84"/>
  <c r="AH104" i="84"/>
  <c r="AH105" i="84"/>
  <c r="AK6" i="83"/>
  <c r="AK7" i="83"/>
  <c r="AK8" i="83"/>
  <c r="AK9" i="83"/>
  <c r="AK10" i="83"/>
  <c r="AK11" i="83"/>
  <c r="AK12" i="83"/>
  <c r="AK13" i="83"/>
  <c r="AK14" i="83"/>
  <c r="AK15" i="83"/>
  <c r="AK16" i="83"/>
  <c r="AK17" i="83"/>
  <c r="AK18" i="83"/>
  <c r="AK19" i="83"/>
  <c r="AK20" i="83"/>
  <c r="AK21" i="83"/>
  <c r="AK22" i="83"/>
  <c r="AK23" i="83"/>
  <c r="AK24" i="83"/>
  <c r="AK25" i="83"/>
  <c r="AK26" i="83"/>
  <c r="AK27" i="83"/>
  <c r="AK28" i="83"/>
  <c r="AK29" i="83"/>
  <c r="AK30" i="83"/>
  <c r="AK31" i="83"/>
  <c r="AK32" i="83"/>
  <c r="AK33" i="83"/>
  <c r="AK34" i="83"/>
  <c r="AK35" i="83"/>
  <c r="AK36" i="83"/>
  <c r="AK37" i="83"/>
  <c r="AK38" i="83"/>
  <c r="AK39" i="83"/>
  <c r="AK40" i="83"/>
  <c r="AK41" i="83"/>
  <c r="AK42" i="83"/>
  <c r="AK43" i="83"/>
  <c r="AK44" i="83"/>
  <c r="AK45" i="83"/>
  <c r="AK46" i="83"/>
  <c r="AK47" i="83"/>
  <c r="AK48" i="83"/>
  <c r="AK49" i="83"/>
  <c r="AK50" i="83"/>
  <c r="AK51" i="83"/>
  <c r="AK52" i="83"/>
  <c r="AK53" i="83"/>
  <c r="AK54" i="83"/>
  <c r="AK55" i="83"/>
  <c r="AK56" i="83"/>
  <c r="AK57" i="83"/>
  <c r="AK58" i="83"/>
  <c r="AK59" i="83"/>
  <c r="AK60" i="83"/>
  <c r="AK61" i="83"/>
  <c r="AK62" i="83"/>
  <c r="AK63" i="83"/>
  <c r="AK64" i="83"/>
  <c r="AK65" i="83"/>
  <c r="AK66" i="83"/>
  <c r="AK67" i="83"/>
  <c r="AK68" i="83"/>
  <c r="AK69" i="83"/>
  <c r="AK70" i="83"/>
  <c r="AK71" i="83"/>
  <c r="AK72" i="83"/>
  <c r="AK73" i="83"/>
  <c r="AK74" i="83"/>
  <c r="AK75" i="83"/>
  <c r="AK76" i="83"/>
  <c r="AK77" i="83"/>
  <c r="AK78" i="83"/>
  <c r="AK79" i="83"/>
  <c r="AK80" i="83"/>
  <c r="AK81" i="83"/>
  <c r="AK82" i="83"/>
  <c r="AK83" i="83"/>
  <c r="AK84" i="83"/>
  <c r="AK85" i="83"/>
  <c r="AK86" i="83"/>
  <c r="AK87" i="83"/>
  <c r="AK88" i="83"/>
  <c r="AK89" i="83"/>
  <c r="AK90" i="83"/>
  <c r="AK91" i="83"/>
  <c r="AK92" i="83"/>
  <c r="AK93" i="83"/>
  <c r="AK94" i="83"/>
  <c r="AK95" i="83"/>
  <c r="AK96" i="83"/>
  <c r="AK97" i="83"/>
  <c r="AK98" i="83"/>
  <c r="AK99" i="83"/>
  <c r="AK100" i="83"/>
  <c r="AK101" i="83"/>
  <c r="AK102" i="83"/>
  <c r="AK103" i="83"/>
  <c r="AK104" i="83"/>
  <c r="AK105" i="83"/>
  <c r="AJ6" i="83"/>
  <c r="AJ7" i="83"/>
  <c r="AJ8" i="83"/>
  <c r="AJ9" i="83"/>
  <c r="AJ10" i="83"/>
  <c r="AJ11" i="83"/>
  <c r="AJ12" i="83"/>
  <c r="AJ13" i="83"/>
  <c r="AJ14" i="83"/>
  <c r="AJ15" i="83"/>
  <c r="AJ16" i="83"/>
  <c r="AJ17" i="83"/>
  <c r="AJ18" i="83"/>
  <c r="AJ19" i="83"/>
  <c r="AJ20" i="83"/>
  <c r="AJ21" i="83"/>
  <c r="AJ22" i="83"/>
  <c r="AJ23" i="83"/>
  <c r="AJ24" i="83"/>
  <c r="AJ25" i="83"/>
  <c r="AJ26" i="83"/>
  <c r="AJ27" i="83"/>
  <c r="AJ28" i="83"/>
  <c r="AJ29" i="83"/>
  <c r="AJ30" i="83"/>
  <c r="AJ31" i="83"/>
  <c r="AJ32" i="83"/>
  <c r="AJ33" i="83"/>
  <c r="AJ34" i="83"/>
  <c r="AJ35" i="83"/>
  <c r="AJ36" i="83"/>
  <c r="AJ37" i="83"/>
  <c r="AJ38" i="83"/>
  <c r="AJ39" i="83"/>
  <c r="AJ40" i="83"/>
  <c r="AJ41" i="83"/>
  <c r="AJ42" i="83"/>
  <c r="AJ43" i="83"/>
  <c r="AJ44" i="83"/>
  <c r="AJ45" i="83"/>
  <c r="AJ46" i="83"/>
  <c r="AJ47" i="83"/>
  <c r="AJ48" i="83"/>
  <c r="AJ49" i="83"/>
  <c r="AJ50" i="83"/>
  <c r="AJ51" i="83"/>
  <c r="AJ52" i="83"/>
  <c r="AJ53" i="83"/>
  <c r="AJ54" i="83"/>
  <c r="AJ55" i="83"/>
  <c r="AJ56" i="83"/>
  <c r="AJ57" i="83"/>
  <c r="AJ58" i="83"/>
  <c r="AJ59" i="83"/>
  <c r="AJ60" i="83"/>
  <c r="AJ61" i="83"/>
  <c r="AJ62" i="83"/>
  <c r="AJ63" i="83"/>
  <c r="AJ64" i="83"/>
  <c r="AJ65" i="83"/>
  <c r="AJ66" i="83"/>
  <c r="AJ67" i="83"/>
  <c r="AJ68" i="83"/>
  <c r="AJ69" i="83"/>
  <c r="AJ70" i="83"/>
  <c r="AJ71" i="83"/>
  <c r="AJ72" i="83"/>
  <c r="AJ73" i="83"/>
  <c r="AJ74" i="83"/>
  <c r="AJ75" i="83"/>
  <c r="AJ76" i="83"/>
  <c r="AJ77" i="83"/>
  <c r="AJ78" i="83"/>
  <c r="AJ79" i="83"/>
  <c r="AJ80" i="83"/>
  <c r="AJ81" i="83"/>
  <c r="AJ82" i="83"/>
  <c r="AJ83" i="83"/>
  <c r="AJ84" i="83"/>
  <c r="AJ85" i="83"/>
  <c r="AJ86" i="83"/>
  <c r="AJ87" i="83"/>
  <c r="AJ88" i="83"/>
  <c r="AJ89" i="83"/>
  <c r="AJ90" i="83"/>
  <c r="AJ91" i="83"/>
  <c r="AJ92" i="83"/>
  <c r="AJ93" i="83"/>
  <c r="AJ94" i="83"/>
  <c r="AJ95" i="83"/>
  <c r="AJ96" i="83"/>
  <c r="AJ97" i="83"/>
  <c r="AJ98" i="83"/>
  <c r="AJ99" i="83"/>
  <c r="AJ100" i="83"/>
  <c r="AJ101" i="83"/>
  <c r="AJ102" i="83"/>
  <c r="AJ103" i="83"/>
  <c r="AJ104" i="83"/>
  <c r="AJ105" i="83"/>
  <c r="AI6" i="83"/>
  <c r="AI7" i="83"/>
  <c r="AI8" i="83"/>
  <c r="AI9" i="83"/>
  <c r="AI10" i="83"/>
  <c r="AI11" i="83"/>
  <c r="AI12" i="83"/>
  <c r="AI13" i="83"/>
  <c r="AI14" i="83"/>
  <c r="AI15" i="83"/>
  <c r="AI16" i="83"/>
  <c r="AI17" i="83"/>
  <c r="AI18" i="83"/>
  <c r="AI19" i="83"/>
  <c r="AI20" i="83"/>
  <c r="AI21" i="83"/>
  <c r="AI22" i="83"/>
  <c r="AI23" i="83"/>
  <c r="AI24" i="83"/>
  <c r="AI25" i="83"/>
  <c r="AI26" i="83"/>
  <c r="AI27" i="83"/>
  <c r="AI28" i="83"/>
  <c r="AI29" i="83"/>
  <c r="AI30" i="83"/>
  <c r="AI31" i="83"/>
  <c r="AI32" i="83"/>
  <c r="AI33" i="83"/>
  <c r="AI34" i="83"/>
  <c r="AI35" i="83"/>
  <c r="AI36" i="83"/>
  <c r="AI37" i="83"/>
  <c r="AI38" i="83"/>
  <c r="AI39" i="83"/>
  <c r="AI40" i="83"/>
  <c r="AI41" i="83"/>
  <c r="AI42" i="83"/>
  <c r="AI43" i="83"/>
  <c r="AI44" i="83"/>
  <c r="AI45" i="83"/>
  <c r="AI46" i="83"/>
  <c r="AI47" i="83"/>
  <c r="AI48" i="83"/>
  <c r="AI49" i="83"/>
  <c r="AI50" i="83"/>
  <c r="AI51" i="83"/>
  <c r="AI52" i="83"/>
  <c r="AI53" i="83"/>
  <c r="AI54" i="83"/>
  <c r="AI55" i="83"/>
  <c r="AI56" i="83"/>
  <c r="AI57" i="83"/>
  <c r="AI58" i="83"/>
  <c r="AI59" i="83"/>
  <c r="AI60" i="83"/>
  <c r="AI61" i="83"/>
  <c r="AI62" i="83"/>
  <c r="AI63" i="83"/>
  <c r="AI64" i="83"/>
  <c r="AI65" i="83"/>
  <c r="AI66" i="83"/>
  <c r="AI67" i="83"/>
  <c r="AI68" i="83"/>
  <c r="AI69" i="83"/>
  <c r="AI70" i="83"/>
  <c r="AI71" i="83"/>
  <c r="AI72" i="83"/>
  <c r="AI73" i="83"/>
  <c r="AI74" i="83"/>
  <c r="AI75" i="83"/>
  <c r="AI76" i="83"/>
  <c r="AI77" i="83"/>
  <c r="AI78" i="83"/>
  <c r="AI79" i="83"/>
  <c r="AI80" i="83"/>
  <c r="AI81" i="83"/>
  <c r="AI82" i="83"/>
  <c r="AI83" i="83"/>
  <c r="AI84" i="83"/>
  <c r="AI85" i="83"/>
  <c r="AI86" i="83"/>
  <c r="AI87" i="83"/>
  <c r="AI88" i="83"/>
  <c r="AI89" i="83"/>
  <c r="AI90" i="83"/>
  <c r="AI91" i="83"/>
  <c r="AI92" i="83"/>
  <c r="AI93" i="83"/>
  <c r="AI94" i="83"/>
  <c r="AI95" i="83"/>
  <c r="AI96" i="83"/>
  <c r="AI97" i="83"/>
  <c r="AI98" i="83"/>
  <c r="AI99" i="83"/>
  <c r="AI100" i="83"/>
  <c r="AI101" i="83"/>
  <c r="AI102" i="83"/>
  <c r="AI103" i="83"/>
  <c r="AI104" i="83"/>
  <c r="AI105" i="83"/>
  <c r="AH6" i="83"/>
  <c r="AH7" i="83"/>
  <c r="AH8" i="83"/>
  <c r="AH9" i="83"/>
  <c r="AH10" i="83"/>
  <c r="AH11" i="83"/>
  <c r="AH12" i="83"/>
  <c r="AH13" i="83"/>
  <c r="AH14" i="83"/>
  <c r="AH15" i="83"/>
  <c r="AH16" i="83"/>
  <c r="AH17" i="83"/>
  <c r="AH18" i="83"/>
  <c r="AH19" i="83"/>
  <c r="AH20" i="83"/>
  <c r="AH21" i="83"/>
  <c r="AH22" i="83"/>
  <c r="AH23" i="83"/>
  <c r="AH24" i="83"/>
  <c r="AH25" i="83"/>
  <c r="AH26" i="83"/>
  <c r="AH27" i="83"/>
  <c r="AH28" i="83"/>
  <c r="AH29" i="83"/>
  <c r="AH30" i="83"/>
  <c r="AH31" i="83"/>
  <c r="AH32" i="83"/>
  <c r="AH33" i="83"/>
  <c r="AH34" i="83"/>
  <c r="AH35" i="83"/>
  <c r="AH36" i="83"/>
  <c r="AH37" i="83"/>
  <c r="AH38" i="83"/>
  <c r="AH39" i="83"/>
  <c r="AH40" i="83"/>
  <c r="AH41" i="83"/>
  <c r="AH42" i="83"/>
  <c r="AH43" i="83"/>
  <c r="AH44" i="83"/>
  <c r="AH45" i="83"/>
  <c r="AH46" i="83"/>
  <c r="AH47" i="83"/>
  <c r="AH48" i="83"/>
  <c r="AH49" i="83"/>
  <c r="AH50" i="83"/>
  <c r="AH51" i="83"/>
  <c r="AH52" i="83"/>
  <c r="AH53" i="83"/>
  <c r="AH54" i="83"/>
  <c r="AH55" i="83"/>
  <c r="AH56" i="83"/>
  <c r="AH57" i="83"/>
  <c r="AH58" i="83"/>
  <c r="AH59" i="83"/>
  <c r="AH60" i="83"/>
  <c r="AH61" i="83"/>
  <c r="AH62" i="83"/>
  <c r="AH63" i="83"/>
  <c r="AH64" i="83"/>
  <c r="AH65" i="83"/>
  <c r="AH66" i="83"/>
  <c r="AH67" i="83"/>
  <c r="AH68" i="83"/>
  <c r="AH69" i="83"/>
  <c r="AH70" i="83"/>
  <c r="AH71" i="83"/>
  <c r="AH72" i="83"/>
  <c r="AH73" i="83"/>
  <c r="AH74" i="83"/>
  <c r="AH75" i="83"/>
  <c r="AH76" i="83"/>
  <c r="AH77" i="83"/>
  <c r="AH78" i="83"/>
  <c r="AH79" i="83"/>
  <c r="AH80" i="83"/>
  <c r="AH81" i="83"/>
  <c r="AH82" i="83"/>
  <c r="AH83" i="83"/>
  <c r="AH84" i="83"/>
  <c r="AH85" i="83"/>
  <c r="AH86" i="83"/>
  <c r="AH87" i="83"/>
  <c r="AH88" i="83"/>
  <c r="AH89" i="83"/>
  <c r="AH90" i="83"/>
  <c r="AH91" i="83"/>
  <c r="AH92" i="83"/>
  <c r="AH93" i="83"/>
  <c r="AH94" i="83"/>
  <c r="AH95" i="83"/>
  <c r="AH96" i="83"/>
  <c r="AH97" i="83"/>
  <c r="AH98" i="83"/>
  <c r="AH99" i="83"/>
  <c r="AH100" i="83"/>
  <c r="AH101" i="83"/>
  <c r="AH102" i="83"/>
  <c r="AH103" i="83"/>
  <c r="AH104" i="83"/>
  <c r="AH105" i="83"/>
  <c r="AK6" i="82"/>
  <c r="AK7" i="82"/>
  <c r="AK8" i="82"/>
  <c r="AK9" i="82"/>
  <c r="AK10" i="82"/>
  <c r="AK11" i="82"/>
  <c r="AK12" i="82"/>
  <c r="AK13" i="82"/>
  <c r="AK14" i="82"/>
  <c r="AK15" i="82"/>
  <c r="AK16" i="82"/>
  <c r="AK17" i="82"/>
  <c r="AK18" i="82"/>
  <c r="AK19" i="82"/>
  <c r="AK20" i="82"/>
  <c r="AK21" i="82"/>
  <c r="AK22" i="82"/>
  <c r="AK23" i="82"/>
  <c r="AK24" i="82"/>
  <c r="AK25" i="82"/>
  <c r="AK26" i="82"/>
  <c r="AK27" i="82"/>
  <c r="AK28" i="82"/>
  <c r="AK29" i="82"/>
  <c r="AK30" i="82"/>
  <c r="AK31" i="82"/>
  <c r="AK32" i="82"/>
  <c r="AK33" i="82"/>
  <c r="AK34" i="82"/>
  <c r="AK35" i="82"/>
  <c r="AK36" i="82"/>
  <c r="AK37" i="82"/>
  <c r="AK38" i="82"/>
  <c r="AK39" i="82"/>
  <c r="AK40" i="82"/>
  <c r="AK41" i="82"/>
  <c r="AK42" i="82"/>
  <c r="AK43" i="82"/>
  <c r="AK44" i="82"/>
  <c r="AK45" i="82"/>
  <c r="AK46" i="82"/>
  <c r="AK47" i="82"/>
  <c r="AK48" i="82"/>
  <c r="AK49" i="82"/>
  <c r="AK50" i="82"/>
  <c r="AK51" i="82"/>
  <c r="AK52" i="82"/>
  <c r="AK53" i="82"/>
  <c r="AK54" i="82"/>
  <c r="AK55" i="82"/>
  <c r="AK56" i="82"/>
  <c r="AK57" i="82"/>
  <c r="AK58" i="82"/>
  <c r="AK59" i="82"/>
  <c r="AK60" i="82"/>
  <c r="AK61" i="82"/>
  <c r="AK62" i="82"/>
  <c r="AK63" i="82"/>
  <c r="AK64" i="82"/>
  <c r="AK65" i="82"/>
  <c r="AK66" i="82"/>
  <c r="AK67" i="82"/>
  <c r="AK68" i="82"/>
  <c r="AK69" i="82"/>
  <c r="AK70" i="82"/>
  <c r="AK71" i="82"/>
  <c r="AK72" i="82"/>
  <c r="AK73" i="82"/>
  <c r="AK74" i="82"/>
  <c r="AK75" i="82"/>
  <c r="AK76" i="82"/>
  <c r="AK77" i="82"/>
  <c r="AK78" i="82"/>
  <c r="AK79" i="82"/>
  <c r="AK80" i="82"/>
  <c r="AK81" i="82"/>
  <c r="AK82" i="82"/>
  <c r="AK83" i="82"/>
  <c r="AK84" i="82"/>
  <c r="AK85" i="82"/>
  <c r="AK86" i="82"/>
  <c r="AK87" i="82"/>
  <c r="AK88" i="82"/>
  <c r="AK89" i="82"/>
  <c r="AK90" i="82"/>
  <c r="AK91" i="82"/>
  <c r="AK92" i="82"/>
  <c r="AK93" i="82"/>
  <c r="AK94" i="82"/>
  <c r="AK95" i="82"/>
  <c r="AK96" i="82"/>
  <c r="AK97" i="82"/>
  <c r="AK98" i="82"/>
  <c r="AK99" i="82"/>
  <c r="AK100" i="82"/>
  <c r="AK101" i="82"/>
  <c r="AK102" i="82"/>
  <c r="AK103" i="82"/>
  <c r="AK104" i="82"/>
  <c r="AK105" i="82"/>
  <c r="AJ6" i="82"/>
  <c r="AJ7" i="82"/>
  <c r="AJ8" i="82"/>
  <c r="AJ9" i="82"/>
  <c r="AJ10" i="82"/>
  <c r="AJ11" i="82"/>
  <c r="AJ12" i="82"/>
  <c r="AJ13" i="82"/>
  <c r="AJ14" i="82"/>
  <c r="AJ15" i="82"/>
  <c r="AJ16" i="82"/>
  <c r="AJ17" i="82"/>
  <c r="AJ18" i="82"/>
  <c r="AJ19" i="82"/>
  <c r="AJ20" i="82"/>
  <c r="AJ21" i="82"/>
  <c r="AJ22" i="82"/>
  <c r="AJ23" i="82"/>
  <c r="AJ24" i="82"/>
  <c r="AJ25" i="82"/>
  <c r="AJ26" i="82"/>
  <c r="AJ27" i="82"/>
  <c r="AJ28" i="82"/>
  <c r="AJ29" i="82"/>
  <c r="AJ30" i="82"/>
  <c r="AJ31" i="82"/>
  <c r="AJ32" i="82"/>
  <c r="AJ33" i="82"/>
  <c r="AJ34" i="82"/>
  <c r="AJ35" i="82"/>
  <c r="AJ36" i="82"/>
  <c r="AJ37" i="82"/>
  <c r="AJ38" i="82"/>
  <c r="AJ39" i="82"/>
  <c r="AJ40" i="82"/>
  <c r="AJ41" i="82"/>
  <c r="AJ42" i="82"/>
  <c r="AJ43" i="82"/>
  <c r="AJ44" i="82"/>
  <c r="AJ45" i="82"/>
  <c r="AJ46" i="82"/>
  <c r="AJ47" i="82"/>
  <c r="AJ48" i="82"/>
  <c r="AJ49" i="82"/>
  <c r="AJ50" i="82"/>
  <c r="AJ51" i="82"/>
  <c r="AJ52" i="82"/>
  <c r="AJ53" i="82"/>
  <c r="AJ54" i="82"/>
  <c r="AJ55" i="82"/>
  <c r="AJ56" i="82"/>
  <c r="AJ57" i="82"/>
  <c r="AJ58" i="82"/>
  <c r="AJ59" i="82"/>
  <c r="AJ60" i="82"/>
  <c r="AJ61" i="82"/>
  <c r="AJ62" i="82"/>
  <c r="AJ63" i="82"/>
  <c r="AJ64" i="82"/>
  <c r="AJ65" i="82"/>
  <c r="AJ66" i="82"/>
  <c r="AJ67" i="82"/>
  <c r="AJ68" i="82"/>
  <c r="AJ69" i="82"/>
  <c r="AJ70" i="82"/>
  <c r="AJ71" i="82"/>
  <c r="AJ72" i="82"/>
  <c r="AJ73" i="82"/>
  <c r="AJ74" i="82"/>
  <c r="AJ75" i="82"/>
  <c r="AJ76" i="82"/>
  <c r="AJ77" i="82"/>
  <c r="AJ78" i="82"/>
  <c r="AJ79" i="82"/>
  <c r="AJ80" i="82"/>
  <c r="AJ81" i="82"/>
  <c r="AJ82" i="82"/>
  <c r="AJ83" i="82"/>
  <c r="AJ84" i="82"/>
  <c r="AJ85" i="82"/>
  <c r="AJ86" i="82"/>
  <c r="AJ87" i="82"/>
  <c r="AJ88" i="82"/>
  <c r="AJ89" i="82"/>
  <c r="AJ90" i="82"/>
  <c r="AJ91" i="82"/>
  <c r="AJ92" i="82"/>
  <c r="AJ93" i="82"/>
  <c r="AJ94" i="82"/>
  <c r="AJ95" i="82"/>
  <c r="AJ96" i="82"/>
  <c r="AJ97" i="82"/>
  <c r="AJ98" i="82"/>
  <c r="AJ99" i="82"/>
  <c r="AJ100" i="82"/>
  <c r="AJ101" i="82"/>
  <c r="AJ102" i="82"/>
  <c r="AJ103" i="82"/>
  <c r="AJ104" i="82"/>
  <c r="AJ105" i="82"/>
  <c r="AI6" i="82"/>
  <c r="AI7" i="82"/>
  <c r="AI8" i="82"/>
  <c r="AI9" i="82"/>
  <c r="AI10" i="82"/>
  <c r="AI11" i="82"/>
  <c r="AI12" i="82"/>
  <c r="AI13" i="82"/>
  <c r="AI14" i="82"/>
  <c r="AI15" i="82"/>
  <c r="AI16" i="82"/>
  <c r="AI17" i="82"/>
  <c r="AI18" i="82"/>
  <c r="AI19" i="82"/>
  <c r="AI20" i="82"/>
  <c r="AI21" i="82"/>
  <c r="AI22" i="82"/>
  <c r="AI23" i="82"/>
  <c r="AI24" i="82"/>
  <c r="AI25" i="82"/>
  <c r="AI26" i="82"/>
  <c r="AI27" i="82"/>
  <c r="AI28" i="82"/>
  <c r="AI29" i="82"/>
  <c r="AI30" i="82"/>
  <c r="AI31" i="82"/>
  <c r="AI32" i="82"/>
  <c r="AI33" i="82"/>
  <c r="AI34" i="82"/>
  <c r="AI35" i="82"/>
  <c r="AI36" i="82"/>
  <c r="AI37" i="82"/>
  <c r="AI38" i="82"/>
  <c r="AI39" i="82"/>
  <c r="AI40" i="82"/>
  <c r="AI41" i="82"/>
  <c r="AI42" i="82"/>
  <c r="AI43" i="82"/>
  <c r="AI44" i="82"/>
  <c r="AI45" i="82"/>
  <c r="AI46" i="82"/>
  <c r="AI47" i="82"/>
  <c r="AI48" i="82"/>
  <c r="AI49" i="82"/>
  <c r="AI50" i="82"/>
  <c r="AI51" i="82"/>
  <c r="AI52" i="82"/>
  <c r="AI53" i="82"/>
  <c r="AI54" i="82"/>
  <c r="AI55" i="82"/>
  <c r="AI56" i="82"/>
  <c r="AI57" i="82"/>
  <c r="AI58" i="82"/>
  <c r="AI59" i="82"/>
  <c r="AI60" i="82"/>
  <c r="AI61" i="82"/>
  <c r="AI62" i="82"/>
  <c r="AI63" i="82"/>
  <c r="AI64" i="82"/>
  <c r="AI65" i="82"/>
  <c r="AI66" i="82"/>
  <c r="AI67" i="82"/>
  <c r="AI68" i="82"/>
  <c r="AI69" i="82"/>
  <c r="AI70" i="82"/>
  <c r="AI71" i="82"/>
  <c r="AI72" i="82"/>
  <c r="AI73" i="82"/>
  <c r="AI74" i="82"/>
  <c r="AI75" i="82"/>
  <c r="AI76" i="82"/>
  <c r="AI77" i="82"/>
  <c r="AI78" i="82"/>
  <c r="AI79" i="82"/>
  <c r="AI80" i="82"/>
  <c r="AI81" i="82"/>
  <c r="AI82" i="82"/>
  <c r="AI83" i="82"/>
  <c r="AI84" i="82"/>
  <c r="AI85" i="82"/>
  <c r="AI86" i="82"/>
  <c r="AI87" i="82"/>
  <c r="AI88" i="82"/>
  <c r="AI89" i="82"/>
  <c r="AI90" i="82"/>
  <c r="AI91" i="82"/>
  <c r="AI92" i="82"/>
  <c r="AI93" i="82"/>
  <c r="AI94" i="82"/>
  <c r="AI95" i="82"/>
  <c r="AI96" i="82"/>
  <c r="AI97" i="82"/>
  <c r="AI98" i="82"/>
  <c r="AI99" i="82"/>
  <c r="AI100" i="82"/>
  <c r="AI101" i="82"/>
  <c r="AI102" i="82"/>
  <c r="AI103" i="82"/>
  <c r="AI104" i="82"/>
  <c r="AI105" i="82"/>
  <c r="AH6" i="82"/>
  <c r="AH7" i="82"/>
  <c r="AH8" i="82"/>
  <c r="AH9" i="82"/>
  <c r="AH10" i="82"/>
  <c r="AH11" i="82"/>
  <c r="AH12" i="82"/>
  <c r="AH13" i="82"/>
  <c r="AH14" i="82"/>
  <c r="AH15" i="82"/>
  <c r="AH16" i="82"/>
  <c r="AH17" i="82"/>
  <c r="AH18" i="82"/>
  <c r="AH19" i="82"/>
  <c r="AH20" i="82"/>
  <c r="AH21" i="82"/>
  <c r="AH22" i="82"/>
  <c r="AH23" i="82"/>
  <c r="AH24" i="82"/>
  <c r="AH25" i="82"/>
  <c r="AH26" i="82"/>
  <c r="AH27" i="82"/>
  <c r="AH28" i="82"/>
  <c r="AH29" i="82"/>
  <c r="AH30" i="82"/>
  <c r="AH31" i="82"/>
  <c r="AH32" i="82"/>
  <c r="AH33" i="82"/>
  <c r="AH34" i="82"/>
  <c r="AH35" i="82"/>
  <c r="AH36" i="82"/>
  <c r="AH37" i="82"/>
  <c r="AH38" i="82"/>
  <c r="AH39" i="82"/>
  <c r="AH40" i="82"/>
  <c r="AH41" i="82"/>
  <c r="AH42" i="82"/>
  <c r="AH43" i="82"/>
  <c r="AH44" i="82"/>
  <c r="AH45" i="82"/>
  <c r="AH46" i="82"/>
  <c r="AH47" i="82"/>
  <c r="AH48" i="82"/>
  <c r="AH49" i="82"/>
  <c r="AH50" i="82"/>
  <c r="AH51" i="82"/>
  <c r="AH52" i="82"/>
  <c r="AH53" i="82"/>
  <c r="AH54" i="82"/>
  <c r="AH55" i="82"/>
  <c r="AH56" i="82"/>
  <c r="AH57" i="82"/>
  <c r="AH58" i="82"/>
  <c r="AH59" i="82"/>
  <c r="AH60" i="82"/>
  <c r="AH61" i="82"/>
  <c r="AH62" i="82"/>
  <c r="AH63" i="82"/>
  <c r="AH64" i="82"/>
  <c r="AH65" i="82"/>
  <c r="AH66" i="82"/>
  <c r="AH67" i="82"/>
  <c r="AH68" i="82"/>
  <c r="AH69" i="82"/>
  <c r="AH70" i="82"/>
  <c r="AH71" i="82"/>
  <c r="AH72" i="82"/>
  <c r="AH73" i="82"/>
  <c r="AH74" i="82"/>
  <c r="AH75" i="82"/>
  <c r="AH76" i="82"/>
  <c r="AH77" i="82"/>
  <c r="AH78" i="82"/>
  <c r="AH79" i="82"/>
  <c r="AH80" i="82"/>
  <c r="AH81" i="82"/>
  <c r="AH82" i="82"/>
  <c r="AH83" i="82"/>
  <c r="AH84" i="82"/>
  <c r="AH85" i="82"/>
  <c r="AH86" i="82"/>
  <c r="AH87" i="82"/>
  <c r="AH88" i="82"/>
  <c r="AH89" i="82"/>
  <c r="AH90" i="82"/>
  <c r="AH91" i="82"/>
  <c r="AH92" i="82"/>
  <c r="AH93" i="82"/>
  <c r="AH94" i="82"/>
  <c r="AH95" i="82"/>
  <c r="AH96" i="82"/>
  <c r="AH97" i="82"/>
  <c r="AH98" i="82"/>
  <c r="AH99" i="82"/>
  <c r="AH100" i="82"/>
  <c r="AH101" i="82"/>
  <c r="AH102" i="82"/>
  <c r="AH103" i="82"/>
  <c r="AH104" i="82"/>
  <c r="AH105" i="82"/>
  <c r="AK6" i="81"/>
  <c r="F2" i="80" s="1"/>
  <c r="AK7" i="81"/>
  <c r="F3" i="80" s="1"/>
  <c r="AK8" i="81"/>
  <c r="F4" i="80" s="1"/>
  <c r="AK9" i="81"/>
  <c r="AK10" i="81"/>
  <c r="AK11" i="81"/>
  <c r="AK12" i="81"/>
  <c r="AK13" i="81"/>
  <c r="AK14" i="81"/>
  <c r="AK15" i="81"/>
  <c r="AK16" i="81"/>
  <c r="AK17" i="81"/>
  <c r="AK18" i="81"/>
  <c r="AK19" i="81"/>
  <c r="AK20" i="81"/>
  <c r="AK21" i="81"/>
  <c r="AK22" i="81"/>
  <c r="AK23" i="81"/>
  <c r="AK24" i="81"/>
  <c r="AK25" i="81"/>
  <c r="AK26" i="81"/>
  <c r="AK27" i="81"/>
  <c r="AK28" i="81"/>
  <c r="AK29" i="81"/>
  <c r="AK30" i="81"/>
  <c r="AK31" i="81"/>
  <c r="AK32" i="81"/>
  <c r="AK33" i="81"/>
  <c r="AK34" i="81"/>
  <c r="AK35" i="81"/>
  <c r="AK36" i="81"/>
  <c r="AK37" i="81"/>
  <c r="AK38" i="81"/>
  <c r="AK39" i="81"/>
  <c r="AK40" i="81"/>
  <c r="AK41" i="81"/>
  <c r="AK42" i="81"/>
  <c r="AK43" i="81"/>
  <c r="AK44" i="81"/>
  <c r="AK45" i="81"/>
  <c r="AK46" i="81"/>
  <c r="AK47" i="81"/>
  <c r="AK48" i="81"/>
  <c r="AK49" i="81"/>
  <c r="AK50" i="81"/>
  <c r="AK51" i="81"/>
  <c r="AK52" i="81"/>
  <c r="AK53" i="81"/>
  <c r="AK54" i="81"/>
  <c r="AK55" i="81"/>
  <c r="AK56" i="81"/>
  <c r="AK57" i="81"/>
  <c r="AK58" i="81"/>
  <c r="AK59" i="81"/>
  <c r="AK60" i="81"/>
  <c r="AK61" i="81"/>
  <c r="AK62" i="81"/>
  <c r="AK63" i="81"/>
  <c r="AK64" i="81"/>
  <c r="AK65" i="81"/>
  <c r="AK66" i="81"/>
  <c r="AK67" i="81"/>
  <c r="AK68" i="81"/>
  <c r="AK69" i="81"/>
  <c r="AK70" i="81"/>
  <c r="AK71" i="81"/>
  <c r="AK72" i="81"/>
  <c r="AK73" i="81"/>
  <c r="AK74" i="81"/>
  <c r="AK75" i="81"/>
  <c r="AK76" i="81"/>
  <c r="AK77" i="81"/>
  <c r="AK78" i="81"/>
  <c r="AK79" i="81"/>
  <c r="AK80" i="81"/>
  <c r="AK81" i="81"/>
  <c r="AK82" i="81"/>
  <c r="AK83" i="81"/>
  <c r="AK84" i="81"/>
  <c r="AK85" i="81"/>
  <c r="AK86" i="81"/>
  <c r="AK87" i="81"/>
  <c r="AK88" i="81"/>
  <c r="AK89" i="81"/>
  <c r="AK90" i="81"/>
  <c r="AK91" i="81"/>
  <c r="AK92" i="81"/>
  <c r="AK93" i="81"/>
  <c r="AK94" i="81"/>
  <c r="AK95" i="81"/>
  <c r="AK96" i="81"/>
  <c r="AK97" i="81"/>
  <c r="AK98" i="81"/>
  <c r="AK99" i="81"/>
  <c r="AK100" i="81"/>
  <c r="AK101" i="81"/>
  <c r="AK102" i="81"/>
  <c r="AK103" i="81"/>
  <c r="AK104" i="81"/>
  <c r="AK105" i="81"/>
  <c r="AJ6" i="81"/>
  <c r="E2" i="80" s="1"/>
  <c r="AJ7" i="81"/>
  <c r="E3" i="80" s="1"/>
  <c r="AJ8" i="81"/>
  <c r="E4" i="80" s="1"/>
  <c r="AJ9" i="81"/>
  <c r="AJ10" i="81"/>
  <c r="AJ11" i="81"/>
  <c r="AJ12" i="81"/>
  <c r="AJ13" i="81"/>
  <c r="AJ14" i="81"/>
  <c r="AJ15" i="81"/>
  <c r="AJ16" i="81"/>
  <c r="AJ17" i="81"/>
  <c r="AJ18" i="81"/>
  <c r="AJ19" i="81"/>
  <c r="AJ20" i="81"/>
  <c r="AJ21" i="81"/>
  <c r="AJ22" i="81"/>
  <c r="AJ23" i="81"/>
  <c r="AJ24" i="81"/>
  <c r="AJ25" i="81"/>
  <c r="AJ26" i="81"/>
  <c r="AJ27" i="81"/>
  <c r="AJ28" i="81"/>
  <c r="AJ29" i="81"/>
  <c r="AJ30" i="81"/>
  <c r="AJ31" i="81"/>
  <c r="AJ32" i="81"/>
  <c r="AJ33" i="81"/>
  <c r="AJ34" i="81"/>
  <c r="AJ35" i="81"/>
  <c r="AJ36" i="81"/>
  <c r="AJ37" i="81"/>
  <c r="AJ38" i="81"/>
  <c r="AJ39" i="81"/>
  <c r="AJ40" i="81"/>
  <c r="AJ41" i="81"/>
  <c r="AJ42" i="81"/>
  <c r="AJ43" i="81"/>
  <c r="AJ44" i="81"/>
  <c r="AJ45" i="81"/>
  <c r="AJ46" i="81"/>
  <c r="AJ47" i="81"/>
  <c r="AJ48" i="81"/>
  <c r="AJ49" i="81"/>
  <c r="AJ50" i="81"/>
  <c r="AJ51" i="81"/>
  <c r="AJ52" i="81"/>
  <c r="AJ53" i="81"/>
  <c r="AJ54" i="81"/>
  <c r="AJ55" i="81"/>
  <c r="AJ56" i="81"/>
  <c r="AJ57" i="81"/>
  <c r="AJ58" i="81"/>
  <c r="AJ59" i="81"/>
  <c r="AJ60" i="81"/>
  <c r="AJ61" i="81"/>
  <c r="AJ62" i="81"/>
  <c r="AJ63" i="81"/>
  <c r="AJ64" i="81"/>
  <c r="AJ65" i="81"/>
  <c r="AJ66" i="81"/>
  <c r="AJ67" i="81"/>
  <c r="AJ68" i="81"/>
  <c r="AJ69" i="81"/>
  <c r="AJ70" i="81"/>
  <c r="AJ71" i="81"/>
  <c r="AJ72" i="81"/>
  <c r="AJ73" i="81"/>
  <c r="AJ74" i="81"/>
  <c r="AJ75" i="81"/>
  <c r="AJ76" i="81"/>
  <c r="AJ77" i="81"/>
  <c r="AJ78" i="81"/>
  <c r="AJ79" i="81"/>
  <c r="AJ80" i="81"/>
  <c r="AJ81" i="81"/>
  <c r="AJ82" i="81"/>
  <c r="AJ83" i="81"/>
  <c r="AJ84" i="81"/>
  <c r="AJ85" i="81"/>
  <c r="AJ86" i="81"/>
  <c r="AJ87" i="81"/>
  <c r="AJ88" i="81"/>
  <c r="AJ89" i="81"/>
  <c r="AJ90" i="81"/>
  <c r="AJ91" i="81"/>
  <c r="AJ92" i="81"/>
  <c r="AJ93" i="81"/>
  <c r="AJ94" i="81"/>
  <c r="AJ95" i="81"/>
  <c r="AJ96" i="81"/>
  <c r="AJ97" i="81"/>
  <c r="AJ98" i="81"/>
  <c r="AJ99" i="81"/>
  <c r="AJ100" i="81"/>
  <c r="AJ101" i="81"/>
  <c r="AJ102" i="81"/>
  <c r="AJ103" i="81"/>
  <c r="AJ104" i="81"/>
  <c r="AJ105" i="81"/>
  <c r="AI6" i="81"/>
  <c r="D2" i="80" s="1"/>
  <c r="AI7" i="81"/>
  <c r="D3" i="80" s="1"/>
  <c r="AI8" i="81"/>
  <c r="D4" i="80" s="1"/>
  <c r="AI9" i="81"/>
  <c r="AI10" i="81"/>
  <c r="AI11" i="81"/>
  <c r="AI12" i="81"/>
  <c r="AI13" i="81"/>
  <c r="AI14" i="81"/>
  <c r="AI15" i="81"/>
  <c r="AI16" i="81"/>
  <c r="AI17" i="81"/>
  <c r="AI18" i="81"/>
  <c r="AI19" i="81"/>
  <c r="AI20" i="81"/>
  <c r="AI21" i="81"/>
  <c r="AI22" i="81"/>
  <c r="AI23" i="81"/>
  <c r="AI24" i="81"/>
  <c r="AI25" i="81"/>
  <c r="AI26" i="81"/>
  <c r="AI27" i="81"/>
  <c r="AI28" i="81"/>
  <c r="AI29" i="81"/>
  <c r="AI30" i="81"/>
  <c r="AI31" i="81"/>
  <c r="AI32" i="81"/>
  <c r="AI33" i="81"/>
  <c r="AI34" i="81"/>
  <c r="AI35" i="81"/>
  <c r="AI36" i="81"/>
  <c r="AI37" i="81"/>
  <c r="AI38" i="81"/>
  <c r="AI39" i="81"/>
  <c r="AI40" i="81"/>
  <c r="AI41" i="81"/>
  <c r="AI42" i="81"/>
  <c r="AI43" i="81"/>
  <c r="AI44" i="81"/>
  <c r="AI45" i="81"/>
  <c r="AI46" i="81"/>
  <c r="AI47" i="81"/>
  <c r="AI48" i="81"/>
  <c r="AI49" i="81"/>
  <c r="AI50" i="81"/>
  <c r="AI51" i="81"/>
  <c r="AI52" i="81"/>
  <c r="AI53" i="81"/>
  <c r="AI54" i="81"/>
  <c r="AI55" i="81"/>
  <c r="AI56" i="81"/>
  <c r="AI57" i="81"/>
  <c r="AI58" i="81"/>
  <c r="AI59" i="81"/>
  <c r="AI60" i="81"/>
  <c r="AI61" i="81"/>
  <c r="AI62" i="81"/>
  <c r="AI63" i="81"/>
  <c r="AI64" i="81"/>
  <c r="AI65" i="81"/>
  <c r="AI66" i="81"/>
  <c r="AI67" i="81"/>
  <c r="AI68" i="81"/>
  <c r="AI69" i="81"/>
  <c r="AI70" i="81"/>
  <c r="AI71" i="81"/>
  <c r="AI72" i="81"/>
  <c r="AI73" i="81"/>
  <c r="AI74" i="81"/>
  <c r="AI75" i="81"/>
  <c r="AI76" i="81"/>
  <c r="AI77" i="81"/>
  <c r="AI78" i="81"/>
  <c r="AI79" i="81"/>
  <c r="AI80" i="81"/>
  <c r="AI81" i="81"/>
  <c r="AI82" i="81"/>
  <c r="AI83" i="81"/>
  <c r="AI84" i="81"/>
  <c r="AI85" i="81"/>
  <c r="AI86" i="81"/>
  <c r="AI87" i="81"/>
  <c r="AI88" i="81"/>
  <c r="AI89" i="81"/>
  <c r="AI90" i="81"/>
  <c r="AI91" i="81"/>
  <c r="AI92" i="81"/>
  <c r="AI93" i="81"/>
  <c r="AI94" i="81"/>
  <c r="AI95" i="81"/>
  <c r="AI96" i="81"/>
  <c r="AI97" i="81"/>
  <c r="AI98" i="81"/>
  <c r="AI99" i="81"/>
  <c r="AI100" i="81"/>
  <c r="AI101" i="81"/>
  <c r="AI102" i="81"/>
  <c r="AI103" i="81"/>
  <c r="AI104" i="81"/>
  <c r="AI105" i="81"/>
  <c r="AH6" i="81"/>
  <c r="C2" i="80" s="1"/>
  <c r="AH7" i="81"/>
  <c r="C3" i="80" s="1"/>
  <c r="AH8" i="81"/>
  <c r="C4" i="80" s="1"/>
  <c r="AH9" i="81"/>
  <c r="AH10" i="81"/>
  <c r="AH11" i="81"/>
  <c r="AH12" i="81"/>
  <c r="AH13" i="81"/>
  <c r="AH14" i="81"/>
  <c r="AH15" i="81"/>
  <c r="AH16" i="81"/>
  <c r="AH17" i="81"/>
  <c r="AH18" i="81"/>
  <c r="AH19" i="81"/>
  <c r="AH20" i="81"/>
  <c r="AH21" i="81"/>
  <c r="AH22" i="81"/>
  <c r="AH23" i="81"/>
  <c r="AH24" i="81"/>
  <c r="AH25" i="81"/>
  <c r="AH26" i="81"/>
  <c r="AH27" i="81"/>
  <c r="AH28" i="81"/>
  <c r="AH29" i="81"/>
  <c r="AH30" i="81"/>
  <c r="AH31" i="81"/>
  <c r="AH32" i="81"/>
  <c r="AH33" i="81"/>
  <c r="AH34" i="81"/>
  <c r="AH35" i="81"/>
  <c r="AH36" i="81"/>
  <c r="AH37" i="81"/>
  <c r="AH38" i="81"/>
  <c r="AH39" i="81"/>
  <c r="AH40" i="81"/>
  <c r="AH41" i="81"/>
  <c r="AH42" i="81"/>
  <c r="AH43" i="81"/>
  <c r="AH44" i="81"/>
  <c r="AH45" i="81"/>
  <c r="AH46" i="81"/>
  <c r="AH47" i="81"/>
  <c r="AH48" i="81"/>
  <c r="AH49" i="81"/>
  <c r="AH50" i="81"/>
  <c r="AH51" i="81"/>
  <c r="AH52" i="81"/>
  <c r="AH53" i="81"/>
  <c r="AH54" i="81"/>
  <c r="AH55" i="81"/>
  <c r="AH56" i="81"/>
  <c r="AH57" i="81"/>
  <c r="AH58" i="81"/>
  <c r="AH59" i="81"/>
  <c r="AH60" i="81"/>
  <c r="AH61" i="81"/>
  <c r="AH62" i="81"/>
  <c r="AH63" i="81"/>
  <c r="AH64" i="81"/>
  <c r="AH65" i="81"/>
  <c r="AH66" i="81"/>
  <c r="AH67" i="81"/>
  <c r="AH68" i="81"/>
  <c r="AH69" i="81"/>
  <c r="AH70" i="81"/>
  <c r="AH71" i="81"/>
  <c r="AH72" i="81"/>
  <c r="AH73" i="81"/>
  <c r="AH74" i="81"/>
  <c r="AH75" i="81"/>
  <c r="AH76" i="81"/>
  <c r="AH77" i="81"/>
  <c r="AH78" i="81"/>
  <c r="AH79" i="81"/>
  <c r="AH80" i="81"/>
  <c r="AH81" i="81"/>
  <c r="AH82" i="81"/>
  <c r="AH83" i="81"/>
  <c r="AH84" i="81"/>
  <c r="AH85" i="81"/>
  <c r="AH86" i="81"/>
  <c r="AH87" i="81"/>
  <c r="AH88" i="81"/>
  <c r="AH89" i="81"/>
  <c r="AH90" i="81"/>
  <c r="AH91" i="81"/>
  <c r="AH92" i="81"/>
  <c r="AH93" i="81"/>
  <c r="AH94" i="81"/>
  <c r="AH95" i="81"/>
  <c r="AH96" i="81"/>
  <c r="AH97" i="81"/>
  <c r="AH98" i="81"/>
  <c r="AH99" i="81"/>
  <c r="AH100" i="81"/>
  <c r="AH101" i="81"/>
  <c r="AH102" i="81"/>
  <c r="AH103" i="81"/>
  <c r="AH104" i="81"/>
  <c r="AH105" i="81"/>
  <c r="D4" i="92"/>
  <c r="E4" i="92"/>
  <c r="F4" i="92"/>
  <c r="G4" i="92"/>
  <c r="H4" i="92"/>
  <c r="I4" i="92"/>
  <c r="J4" i="92"/>
  <c r="K4" i="92"/>
  <c r="L4" i="92"/>
  <c r="M4" i="92"/>
  <c r="N4" i="92"/>
  <c r="O4" i="92"/>
  <c r="P4" i="92"/>
  <c r="Q4" i="92"/>
  <c r="R4" i="92"/>
  <c r="S4" i="92"/>
  <c r="T4" i="92"/>
  <c r="U4" i="92"/>
  <c r="V4" i="92"/>
  <c r="W4" i="92"/>
  <c r="X4" i="92"/>
  <c r="Y4" i="92"/>
  <c r="Z4" i="92"/>
  <c r="AA4" i="92"/>
  <c r="AB4" i="92"/>
  <c r="AC4" i="92"/>
  <c r="AD4" i="92"/>
  <c r="AE4" i="92"/>
  <c r="AF4" i="92"/>
  <c r="AG4" i="92"/>
  <c r="C4" i="92"/>
  <c r="C5" i="92" a="1"/>
  <c r="C5" i="92" s="1"/>
  <c r="B105" i="92"/>
  <c r="B104" i="92"/>
  <c r="B103" i="92"/>
  <c r="B102" i="92"/>
  <c r="B101" i="92"/>
  <c r="B100" i="92"/>
  <c r="B99" i="92"/>
  <c r="B98" i="92"/>
  <c r="B97" i="92"/>
  <c r="B96" i="92"/>
  <c r="B95" i="92"/>
  <c r="B94" i="92"/>
  <c r="B93" i="92"/>
  <c r="B92" i="92"/>
  <c r="B91" i="92"/>
  <c r="B90" i="92"/>
  <c r="B89" i="92"/>
  <c r="B88" i="92"/>
  <c r="B87" i="92"/>
  <c r="B86" i="92"/>
  <c r="B85" i="92"/>
  <c r="B84" i="92"/>
  <c r="B83" i="92"/>
  <c r="B82" i="92"/>
  <c r="B81" i="92"/>
  <c r="B80" i="92"/>
  <c r="B79" i="92"/>
  <c r="B78" i="92"/>
  <c r="B77" i="92"/>
  <c r="B76" i="92"/>
  <c r="B75" i="92"/>
  <c r="B74" i="92"/>
  <c r="B73" i="92"/>
  <c r="B72" i="92"/>
  <c r="B71" i="92"/>
  <c r="B70" i="92"/>
  <c r="B69" i="92"/>
  <c r="B68" i="92"/>
  <c r="B67" i="92"/>
  <c r="B66" i="92"/>
  <c r="B65" i="92"/>
  <c r="B64" i="92"/>
  <c r="B63" i="92"/>
  <c r="B62" i="92"/>
  <c r="B61" i="92"/>
  <c r="B60" i="92"/>
  <c r="B59" i="92"/>
  <c r="B58" i="92"/>
  <c r="B57" i="92"/>
  <c r="B56" i="92"/>
  <c r="B55" i="92"/>
  <c r="B54" i="92"/>
  <c r="B53" i="92"/>
  <c r="B52" i="92"/>
  <c r="B51" i="92"/>
  <c r="B50" i="92"/>
  <c r="B49" i="92"/>
  <c r="B48" i="92"/>
  <c r="B47" i="92"/>
  <c r="B46" i="92"/>
  <c r="B45" i="92"/>
  <c r="B44" i="92"/>
  <c r="B43" i="92"/>
  <c r="B42" i="92"/>
  <c r="B41" i="92"/>
  <c r="B40" i="92"/>
  <c r="B39" i="92"/>
  <c r="B38" i="92"/>
  <c r="B37" i="92"/>
  <c r="B36" i="92"/>
  <c r="B35" i="92"/>
  <c r="B34" i="92"/>
  <c r="B33" i="92"/>
  <c r="B32" i="92"/>
  <c r="B31" i="92"/>
  <c r="B30" i="92"/>
  <c r="B29" i="92"/>
  <c r="B28" i="92"/>
  <c r="B27" i="92"/>
  <c r="B26" i="92"/>
  <c r="B25" i="92"/>
  <c r="B24" i="92"/>
  <c r="B23" i="92"/>
  <c r="B22" i="92"/>
  <c r="B21" i="92"/>
  <c r="B20" i="92"/>
  <c r="B19" i="92"/>
  <c r="B18" i="92"/>
  <c r="B17" i="92"/>
  <c r="B16" i="92"/>
  <c r="B15" i="92"/>
  <c r="B14" i="92"/>
  <c r="B13" i="92"/>
  <c r="B12" i="92"/>
  <c r="B11" i="92"/>
  <c r="B10" i="92"/>
  <c r="B9" i="92"/>
  <c r="B8" i="92"/>
  <c r="B7" i="92"/>
  <c r="B6" i="92"/>
  <c r="D4" i="91"/>
  <c r="E4" i="91"/>
  <c r="F4" i="91"/>
  <c r="G4" i="91"/>
  <c r="H4" i="91"/>
  <c r="I4" i="91"/>
  <c r="J4" i="91"/>
  <c r="K4" i="91"/>
  <c r="L4" i="91"/>
  <c r="M4" i="91"/>
  <c r="N4" i="91"/>
  <c r="O4" i="91"/>
  <c r="P4" i="91"/>
  <c r="Q4" i="91"/>
  <c r="R4" i="91"/>
  <c r="S4" i="91"/>
  <c r="T4" i="91"/>
  <c r="U4" i="91"/>
  <c r="V4" i="91"/>
  <c r="W4" i="91"/>
  <c r="X4" i="91"/>
  <c r="Y4" i="91"/>
  <c r="Z4" i="91"/>
  <c r="AA4" i="91"/>
  <c r="AB4" i="91"/>
  <c r="AC4" i="91"/>
  <c r="AD4" i="91"/>
  <c r="AE4" i="91"/>
  <c r="AF4" i="91"/>
  <c r="AG4" i="91"/>
  <c r="C4" i="91"/>
  <c r="C5" i="91" a="1"/>
  <c r="C5" i="91" s="1"/>
  <c r="B105" i="91"/>
  <c r="B104" i="91"/>
  <c r="B103" i="91"/>
  <c r="B102" i="91"/>
  <c r="B101" i="91"/>
  <c r="B100" i="91"/>
  <c r="B99" i="91"/>
  <c r="B98" i="91"/>
  <c r="B97" i="91"/>
  <c r="B96" i="91"/>
  <c r="B95" i="91"/>
  <c r="B94" i="91"/>
  <c r="B93" i="91"/>
  <c r="B92" i="91"/>
  <c r="B91" i="91"/>
  <c r="B90" i="91"/>
  <c r="B89" i="91"/>
  <c r="B88" i="91"/>
  <c r="B87" i="91"/>
  <c r="B86" i="91"/>
  <c r="B85" i="91"/>
  <c r="B84" i="91"/>
  <c r="B83" i="91"/>
  <c r="B82" i="91"/>
  <c r="B81" i="91"/>
  <c r="B80" i="91"/>
  <c r="B79" i="91"/>
  <c r="B78" i="91"/>
  <c r="B77" i="91"/>
  <c r="B76" i="91"/>
  <c r="B75" i="91"/>
  <c r="B74" i="91"/>
  <c r="B73" i="91"/>
  <c r="B72" i="91"/>
  <c r="B71" i="91"/>
  <c r="B70" i="91"/>
  <c r="B69" i="91"/>
  <c r="B68" i="91"/>
  <c r="B67" i="91"/>
  <c r="B66" i="91"/>
  <c r="B65" i="91"/>
  <c r="B64" i="91"/>
  <c r="B63" i="91"/>
  <c r="B62" i="91"/>
  <c r="B61" i="91"/>
  <c r="B60" i="91"/>
  <c r="B59" i="91"/>
  <c r="B58" i="91"/>
  <c r="B57" i="91"/>
  <c r="B56" i="91"/>
  <c r="B55" i="91"/>
  <c r="B54" i="91"/>
  <c r="B53" i="91"/>
  <c r="B52" i="91"/>
  <c r="B51" i="91"/>
  <c r="B50" i="91"/>
  <c r="B49" i="91"/>
  <c r="B48" i="91"/>
  <c r="B47" i="91"/>
  <c r="B46" i="91"/>
  <c r="B45" i="91"/>
  <c r="B44" i="91"/>
  <c r="B43" i="91"/>
  <c r="B42" i="91"/>
  <c r="B41" i="91"/>
  <c r="B40" i="91"/>
  <c r="B39" i="91"/>
  <c r="B38" i="91"/>
  <c r="B37" i="91"/>
  <c r="B36" i="91"/>
  <c r="B35" i="91"/>
  <c r="B34" i="91"/>
  <c r="B33" i="91"/>
  <c r="B32" i="91"/>
  <c r="B31" i="91"/>
  <c r="B30" i="91"/>
  <c r="B29" i="91"/>
  <c r="B28" i="91"/>
  <c r="B27" i="91"/>
  <c r="B26" i="91"/>
  <c r="B25" i="91"/>
  <c r="B24" i="91"/>
  <c r="B23" i="91"/>
  <c r="B22" i="91"/>
  <c r="B21" i="91"/>
  <c r="B20" i="91"/>
  <c r="B19" i="91"/>
  <c r="B18" i="91"/>
  <c r="B17" i="91"/>
  <c r="B16" i="91"/>
  <c r="B15" i="91"/>
  <c r="B14" i="91"/>
  <c r="B13" i="91"/>
  <c r="B12" i="91"/>
  <c r="B11" i="91"/>
  <c r="B10" i="91"/>
  <c r="B9" i="91"/>
  <c r="B8" i="91"/>
  <c r="B7" i="91"/>
  <c r="B6" i="91"/>
  <c r="D4" i="90"/>
  <c r="E4" i="90"/>
  <c r="F4" i="90"/>
  <c r="G4" i="90"/>
  <c r="H4" i="90"/>
  <c r="I4" i="90"/>
  <c r="J4" i="90"/>
  <c r="K4" i="90"/>
  <c r="L4" i="90"/>
  <c r="M4" i="90"/>
  <c r="N4" i="90"/>
  <c r="O4" i="90"/>
  <c r="P4" i="90"/>
  <c r="Q4" i="90"/>
  <c r="R4" i="90"/>
  <c r="S4" i="90"/>
  <c r="T4" i="90"/>
  <c r="U4" i="90"/>
  <c r="V4" i="90"/>
  <c r="W4" i="90"/>
  <c r="X4" i="90"/>
  <c r="Y4" i="90"/>
  <c r="Z4" i="90"/>
  <c r="AA4" i="90"/>
  <c r="AB4" i="90"/>
  <c r="AC4" i="90"/>
  <c r="AD4" i="90"/>
  <c r="AE4" i="90"/>
  <c r="AF4" i="90"/>
  <c r="AG4" i="90"/>
  <c r="C4" i="90"/>
  <c r="C5" i="90" a="1"/>
  <c r="C5" i="90" s="1"/>
  <c r="B105" i="90"/>
  <c r="B104" i="90"/>
  <c r="B103" i="90"/>
  <c r="B102" i="90"/>
  <c r="B101" i="90"/>
  <c r="B100" i="90"/>
  <c r="B99" i="90"/>
  <c r="B98" i="90"/>
  <c r="B97" i="90"/>
  <c r="B96" i="90"/>
  <c r="B95" i="90"/>
  <c r="B94" i="90"/>
  <c r="B93" i="90"/>
  <c r="B92" i="90"/>
  <c r="B91" i="90"/>
  <c r="B90" i="90"/>
  <c r="B89" i="90"/>
  <c r="B88" i="90"/>
  <c r="B87" i="90"/>
  <c r="B86" i="90"/>
  <c r="B85" i="90"/>
  <c r="B84" i="90"/>
  <c r="B83" i="90"/>
  <c r="B82" i="90"/>
  <c r="B81" i="90"/>
  <c r="B80" i="90"/>
  <c r="B79" i="90"/>
  <c r="B78" i="90"/>
  <c r="B77" i="90"/>
  <c r="B76" i="90"/>
  <c r="B75" i="90"/>
  <c r="B74" i="90"/>
  <c r="B73" i="90"/>
  <c r="B72" i="90"/>
  <c r="B71" i="90"/>
  <c r="B70" i="90"/>
  <c r="B69" i="90"/>
  <c r="B68" i="90"/>
  <c r="B67" i="90"/>
  <c r="B66" i="90"/>
  <c r="B65" i="90"/>
  <c r="B64" i="90"/>
  <c r="B63" i="90"/>
  <c r="B62" i="90"/>
  <c r="B61" i="90"/>
  <c r="B60" i="90"/>
  <c r="B59" i="90"/>
  <c r="B58" i="90"/>
  <c r="B57" i="90"/>
  <c r="B56" i="90"/>
  <c r="B55" i="90"/>
  <c r="B54" i="90"/>
  <c r="B53" i="90"/>
  <c r="B52" i="90"/>
  <c r="B51" i="90"/>
  <c r="B50" i="90"/>
  <c r="B49" i="90"/>
  <c r="B48" i="90"/>
  <c r="B47" i="90"/>
  <c r="B46" i="90"/>
  <c r="B45" i="90"/>
  <c r="B44" i="90"/>
  <c r="B43" i="90"/>
  <c r="B42" i="90"/>
  <c r="B41" i="90"/>
  <c r="B40" i="90"/>
  <c r="B39" i="90"/>
  <c r="B38" i="90"/>
  <c r="B37" i="90"/>
  <c r="B36" i="90"/>
  <c r="B35" i="90"/>
  <c r="B34" i="90"/>
  <c r="B33" i="90"/>
  <c r="B32" i="90"/>
  <c r="B31" i="90"/>
  <c r="B30" i="90"/>
  <c r="B29" i="90"/>
  <c r="B28" i="90"/>
  <c r="B27" i="90"/>
  <c r="B26" i="90"/>
  <c r="B25" i="90"/>
  <c r="B24" i="90"/>
  <c r="B23" i="90"/>
  <c r="B22" i="90"/>
  <c r="B21" i="90"/>
  <c r="B20" i="90"/>
  <c r="B19" i="90"/>
  <c r="B18" i="90"/>
  <c r="B17" i="90"/>
  <c r="B16" i="90"/>
  <c r="B15" i="90"/>
  <c r="B14" i="90"/>
  <c r="B13" i="90"/>
  <c r="B12" i="90"/>
  <c r="B11" i="90"/>
  <c r="B10" i="90"/>
  <c r="B9" i="90"/>
  <c r="B8" i="90"/>
  <c r="B7" i="90"/>
  <c r="B6" i="90"/>
  <c r="D4" i="89"/>
  <c r="E4" i="89"/>
  <c r="F4" i="89"/>
  <c r="G4" i="89"/>
  <c r="H4" i="89"/>
  <c r="I4" i="89"/>
  <c r="J4" i="89"/>
  <c r="K4" i="89"/>
  <c r="L4" i="89"/>
  <c r="M4" i="89"/>
  <c r="N4" i="89"/>
  <c r="O4" i="89"/>
  <c r="P4" i="89"/>
  <c r="Q4" i="89"/>
  <c r="R4" i="89"/>
  <c r="S4" i="89"/>
  <c r="T4" i="89"/>
  <c r="U4" i="89"/>
  <c r="V4" i="89"/>
  <c r="W4" i="89"/>
  <c r="X4" i="89"/>
  <c r="Y4" i="89"/>
  <c r="Z4" i="89"/>
  <c r="AA4" i="89"/>
  <c r="AB4" i="89"/>
  <c r="AC4" i="89"/>
  <c r="AD4" i="89"/>
  <c r="AE4" i="89"/>
  <c r="AF4" i="89"/>
  <c r="AG4" i="89"/>
  <c r="C4" i="89"/>
  <c r="C5" i="89" a="1"/>
  <c r="C5" i="89" s="1"/>
  <c r="B105" i="89"/>
  <c r="B104" i="89"/>
  <c r="B103" i="89"/>
  <c r="B102" i="89"/>
  <c r="B101" i="89"/>
  <c r="B100" i="89"/>
  <c r="B99" i="89"/>
  <c r="B98" i="89"/>
  <c r="B97" i="89"/>
  <c r="B96" i="89"/>
  <c r="B95" i="89"/>
  <c r="B94" i="89"/>
  <c r="B93" i="89"/>
  <c r="B92" i="89"/>
  <c r="B91" i="89"/>
  <c r="B90" i="89"/>
  <c r="B89" i="89"/>
  <c r="B88" i="89"/>
  <c r="B87" i="89"/>
  <c r="B86" i="89"/>
  <c r="B85" i="89"/>
  <c r="B84" i="89"/>
  <c r="B83" i="89"/>
  <c r="B82" i="89"/>
  <c r="B81" i="89"/>
  <c r="B80" i="89"/>
  <c r="B79" i="89"/>
  <c r="B78" i="89"/>
  <c r="B77" i="89"/>
  <c r="B76" i="89"/>
  <c r="B75" i="89"/>
  <c r="B74" i="89"/>
  <c r="B73" i="89"/>
  <c r="B72" i="89"/>
  <c r="B71" i="89"/>
  <c r="B70" i="89"/>
  <c r="B69" i="89"/>
  <c r="B68" i="89"/>
  <c r="B67" i="89"/>
  <c r="B66" i="89"/>
  <c r="B65" i="89"/>
  <c r="B64" i="89"/>
  <c r="B63" i="89"/>
  <c r="B62" i="89"/>
  <c r="B61" i="89"/>
  <c r="B60" i="89"/>
  <c r="B59" i="89"/>
  <c r="B58" i="89"/>
  <c r="B57" i="89"/>
  <c r="B56" i="89"/>
  <c r="B55" i="89"/>
  <c r="B54" i="89"/>
  <c r="B53" i="89"/>
  <c r="B52" i="89"/>
  <c r="B51" i="89"/>
  <c r="B50" i="89"/>
  <c r="B49" i="89"/>
  <c r="B48" i="89"/>
  <c r="B47" i="89"/>
  <c r="B46" i="89"/>
  <c r="B45" i="89"/>
  <c r="B44" i="89"/>
  <c r="B43" i="89"/>
  <c r="B42" i="89"/>
  <c r="B41" i="89"/>
  <c r="B40" i="89"/>
  <c r="B39" i="89"/>
  <c r="B38" i="89"/>
  <c r="B37" i="89"/>
  <c r="B36" i="89"/>
  <c r="B35" i="89"/>
  <c r="B34" i="89"/>
  <c r="B33" i="89"/>
  <c r="B32" i="89"/>
  <c r="B31" i="89"/>
  <c r="B30" i="89"/>
  <c r="B29" i="89"/>
  <c r="B28" i="89"/>
  <c r="B27" i="89"/>
  <c r="B26" i="89"/>
  <c r="B25" i="89"/>
  <c r="B24" i="89"/>
  <c r="B23" i="89"/>
  <c r="B22" i="89"/>
  <c r="B21" i="89"/>
  <c r="B20" i="89"/>
  <c r="B19" i="89"/>
  <c r="B18" i="89"/>
  <c r="B17" i="89"/>
  <c r="B16" i="89"/>
  <c r="B15" i="89"/>
  <c r="B14" i="89"/>
  <c r="B13" i="89"/>
  <c r="B12" i="89"/>
  <c r="B11" i="89"/>
  <c r="B10" i="89"/>
  <c r="B9" i="89"/>
  <c r="B8" i="89"/>
  <c r="B7" i="89"/>
  <c r="B6" i="89"/>
  <c r="D4" i="88"/>
  <c r="E4" i="88"/>
  <c r="F4" i="88"/>
  <c r="G4" i="88"/>
  <c r="H4" i="88"/>
  <c r="I4" i="88"/>
  <c r="J4" i="88"/>
  <c r="K4" i="88"/>
  <c r="L4" i="88"/>
  <c r="M4" i="88"/>
  <c r="N4" i="88"/>
  <c r="O4" i="88"/>
  <c r="P4" i="88"/>
  <c r="Q4" i="88"/>
  <c r="R4" i="88"/>
  <c r="S4" i="88"/>
  <c r="T4" i="88"/>
  <c r="U4" i="88"/>
  <c r="V4" i="88"/>
  <c r="W4" i="88"/>
  <c r="X4" i="88"/>
  <c r="Y4" i="88"/>
  <c r="Z4" i="88"/>
  <c r="AA4" i="88"/>
  <c r="AB4" i="88"/>
  <c r="AC4" i="88"/>
  <c r="AD4" i="88"/>
  <c r="AE4" i="88"/>
  <c r="AF4" i="88"/>
  <c r="AG4" i="88"/>
  <c r="C4" i="88"/>
  <c r="C5" i="88" a="1"/>
  <c r="C5" i="88" s="1"/>
  <c r="B105" i="88"/>
  <c r="B104" i="88"/>
  <c r="B103" i="88"/>
  <c r="B102" i="88"/>
  <c r="B101" i="88"/>
  <c r="B100" i="88"/>
  <c r="B99" i="88"/>
  <c r="B98" i="88"/>
  <c r="B97" i="88"/>
  <c r="B96" i="88"/>
  <c r="B95" i="88"/>
  <c r="B94" i="88"/>
  <c r="B93" i="88"/>
  <c r="B92" i="88"/>
  <c r="B91" i="88"/>
  <c r="B90" i="88"/>
  <c r="B89" i="88"/>
  <c r="B88" i="88"/>
  <c r="B87" i="88"/>
  <c r="B86" i="88"/>
  <c r="B85" i="88"/>
  <c r="B84" i="88"/>
  <c r="B83" i="88"/>
  <c r="B82" i="88"/>
  <c r="B81" i="88"/>
  <c r="B80" i="88"/>
  <c r="B79" i="88"/>
  <c r="B78" i="88"/>
  <c r="B77" i="88"/>
  <c r="B76" i="88"/>
  <c r="B75" i="88"/>
  <c r="B74" i="88"/>
  <c r="B73" i="88"/>
  <c r="B72" i="88"/>
  <c r="B71" i="88"/>
  <c r="B70" i="88"/>
  <c r="B69" i="88"/>
  <c r="B68" i="88"/>
  <c r="B67" i="88"/>
  <c r="B66" i="88"/>
  <c r="B65" i="88"/>
  <c r="B64" i="88"/>
  <c r="B63" i="88"/>
  <c r="B62" i="88"/>
  <c r="B61" i="88"/>
  <c r="B60" i="88"/>
  <c r="B59" i="88"/>
  <c r="B58" i="88"/>
  <c r="B57" i="88"/>
  <c r="B56" i="88"/>
  <c r="B55" i="88"/>
  <c r="B54" i="88"/>
  <c r="B53" i="88"/>
  <c r="B52" i="88"/>
  <c r="B51" i="88"/>
  <c r="B50" i="88"/>
  <c r="B49" i="88"/>
  <c r="B48" i="88"/>
  <c r="B47" i="88"/>
  <c r="B46" i="88"/>
  <c r="B45" i="88"/>
  <c r="B44" i="88"/>
  <c r="B43" i="88"/>
  <c r="B42" i="88"/>
  <c r="B41" i="88"/>
  <c r="B40" i="88"/>
  <c r="B39" i="88"/>
  <c r="B38" i="88"/>
  <c r="B37" i="88"/>
  <c r="B36" i="88"/>
  <c r="B35" i="88"/>
  <c r="B34" i="88"/>
  <c r="B33" i="88"/>
  <c r="B32" i="88"/>
  <c r="B31" i="88"/>
  <c r="B30" i="88"/>
  <c r="B29" i="88"/>
  <c r="B28" i="88"/>
  <c r="B27" i="88"/>
  <c r="B26" i="88"/>
  <c r="B25" i="88"/>
  <c r="B24" i="88"/>
  <c r="B23" i="88"/>
  <c r="B22" i="88"/>
  <c r="B21" i="88"/>
  <c r="B20" i="88"/>
  <c r="B19" i="88"/>
  <c r="B18" i="88"/>
  <c r="B17" i="88"/>
  <c r="B16" i="88"/>
  <c r="B15" i="88"/>
  <c r="B14" i="88"/>
  <c r="B13" i="88"/>
  <c r="B12" i="88"/>
  <c r="B11" i="88"/>
  <c r="B10" i="88"/>
  <c r="B9" i="88"/>
  <c r="B8" i="88"/>
  <c r="B7" i="88"/>
  <c r="B6" i="88"/>
  <c r="D4" i="87"/>
  <c r="E4" i="87"/>
  <c r="F4" i="87"/>
  <c r="G4" i="87"/>
  <c r="H4" i="87"/>
  <c r="I4" i="87"/>
  <c r="J4" i="87"/>
  <c r="K4" i="87"/>
  <c r="L4" i="87"/>
  <c r="M4" i="87"/>
  <c r="N4" i="87"/>
  <c r="O4" i="87"/>
  <c r="P4" i="87"/>
  <c r="Q4" i="87"/>
  <c r="R4" i="87"/>
  <c r="S4" i="87"/>
  <c r="T4" i="87"/>
  <c r="U4" i="87"/>
  <c r="V4" i="87"/>
  <c r="W4" i="87"/>
  <c r="X4" i="87"/>
  <c r="Y4" i="87"/>
  <c r="Z4" i="87"/>
  <c r="AA4" i="87"/>
  <c r="AB4" i="87"/>
  <c r="AC4" i="87"/>
  <c r="AD4" i="87"/>
  <c r="AE4" i="87"/>
  <c r="AF4" i="87"/>
  <c r="AG4" i="87"/>
  <c r="C4" i="87"/>
  <c r="C5" i="87" a="1"/>
  <c r="C5" i="87" s="1"/>
  <c r="B105" i="87"/>
  <c r="B104" i="87"/>
  <c r="B103" i="87"/>
  <c r="B102" i="87"/>
  <c r="B101" i="87"/>
  <c r="B100" i="87"/>
  <c r="B99" i="87"/>
  <c r="B98" i="87"/>
  <c r="B97" i="87"/>
  <c r="B96" i="87"/>
  <c r="B95" i="87"/>
  <c r="B94" i="87"/>
  <c r="B93" i="87"/>
  <c r="B92" i="87"/>
  <c r="B91" i="87"/>
  <c r="B90" i="87"/>
  <c r="B89" i="87"/>
  <c r="B88" i="87"/>
  <c r="B87" i="87"/>
  <c r="B86" i="87"/>
  <c r="B85" i="87"/>
  <c r="B84" i="87"/>
  <c r="B83" i="87"/>
  <c r="B82" i="87"/>
  <c r="B81" i="87"/>
  <c r="B80" i="87"/>
  <c r="B79" i="87"/>
  <c r="B78" i="87"/>
  <c r="B77" i="87"/>
  <c r="B76" i="87"/>
  <c r="B75" i="87"/>
  <c r="B74" i="87"/>
  <c r="B73" i="87"/>
  <c r="B72" i="87"/>
  <c r="B71" i="87"/>
  <c r="B70" i="87"/>
  <c r="B69" i="87"/>
  <c r="B68" i="87"/>
  <c r="B67" i="87"/>
  <c r="B66" i="87"/>
  <c r="B65" i="87"/>
  <c r="B64" i="87"/>
  <c r="B63" i="87"/>
  <c r="B62" i="87"/>
  <c r="B61" i="87"/>
  <c r="B60" i="87"/>
  <c r="B59" i="87"/>
  <c r="B58" i="87"/>
  <c r="B57" i="87"/>
  <c r="B56" i="87"/>
  <c r="B55" i="87"/>
  <c r="B54" i="87"/>
  <c r="B53" i="87"/>
  <c r="B52" i="87"/>
  <c r="B51" i="87"/>
  <c r="B50" i="87"/>
  <c r="B49" i="87"/>
  <c r="B48" i="87"/>
  <c r="B47" i="87"/>
  <c r="B46" i="87"/>
  <c r="B45" i="87"/>
  <c r="B44" i="87"/>
  <c r="B43" i="87"/>
  <c r="B42" i="87"/>
  <c r="B41" i="87"/>
  <c r="B40" i="87"/>
  <c r="B39" i="87"/>
  <c r="B38" i="87"/>
  <c r="B37" i="87"/>
  <c r="B36" i="87"/>
  <c r="B35" i="87"/>
  <c r="B34" i="87"/>
  <c r="B33" i="87"/>
  <c r="B32" i="87"/>
  <c r="B31" i="87"/>
  <c r="B30" i="87"/>
  <c r="B29" i="87"/>
  <c r="B28" i="87"/>
  <c r="B27" i="87"/>
  <c r="B26" i="87"/>
  <c r="B25" i="87"/>
  <c r="B24" i="87"/>
  <c r="B23" i="87"/>
  <c r="B22" i="87"/>
  <c r="B21" i="87"/>
  <c r="B20" i="87"/>
  <c r="B19" i="87"/>
  <c r="B18" i="87"/>
  <c r="B17" i="87"/>
  <c r="B16" i="87"/>
  <c r="B15" i="87"/>
  <c r="B14" i="87"/>
  <c r="B13" i="87"/>
  <c r="B12" i="87"/>
  <c r="B11" i="87"/>
  <c r="B10" i="87"/>
  <c r="B9" i="87"/>
  <c r="B8" i="87"/>
  <c r="B7" i="87"/>
  <c r="B6" i="87"/>
  <c r="D4" i="86"/>
  <c r="E4" i="86"/>
  <c r="F4" i="86"/>
  <c r="G4" i="86"/>
  <c r="H4" i="86"/>
  <c r="I4" i="86"/>
  <c r="J4" i="86"/>
  <c r="K4" i="86"/>
  <c r="L4" i="86"/>
  <c r="M4" i="86"/>
  <c r="N4" i="86"/>
  <c r="O4" i="86"/>
  <c r="P4" i="86"/>
  <c r="Q4" i="86"/>
  <c r="R4" i="86"/>
  <c r="S4" i="86"/>
  <c r="T4" i="86"/>
  <c r="U4" i="86"/>
  <c r="V4" i="86"/>
  <c r="W4" i="86"/>
  <c r="X4" i="86"/>
  <c r="Y4" i="86"/>
  <c r="Z4" i="86"/>
  <c r="AA4" i="86"/>
  <c r="AB4" i="86"/>
  <c r="AC4" i="86"/>
  <c r="AD4" i="86"/>
  <c r="AE4" i="86"/>
  <c r="AF4" i="86"/>
  <c r="AG4" i="86"/>
  <c r="C4" i="86"/>
  <c r="C5" i="86" a="1"/>
  <c r="C5" i="86" s="1"/>
  <c r="B105" i="86"/>
  <c r="B104" i="86"/>
  <c r="B103" i="86"/>
  <c r="B102" i="86"/>
  <c r="B101" i="86"/>
  <c r="B100" i="86"/>
  <c r="B99" i="86"/>
  <c r="B98" i="86"/>
  <c r="B97" i="86"/>
  <c r="B96" i="86"/>
  <c r="B95" i="86"/>
  <c r="B94" i="86"/>
  <c r="B93" i="86"/>
  <c r="B92" i="86"/>
  <c r="B91" i="86"/>
  <c r="B90" i="86"/>
  <c r="B89" i="86"/>
  <c r="B88" i="86"/>
  <c r="B87" i="86"/>
  <c r="B86" i="86"/>
  <c r="B85" i="86"/>
  <c r="B84" i="86"/>
  <c r="B83" i="86"/>
  <c r="B82" i="86"/>
  <c r="B81" i="86"/>
  <c r="B80" i="86"/>
  <c r="B79" i="86"/>
  <c r="B78" i="86"/>
  <c r="B77" i="86"/>
  <c r="B76" i="86"/>
  <c r="B75" i="86"/>
  <c r="B74" i="86"/>
  <c r="B73" i="86"/>
  <c r="B72" i="86"/>
  <c r="B71" i="86"/>
  <c r="B70" i="86"/>
  <c r="B69" i="86"/>
  <c r="B68" i="86"/>
  <c r="B67" i="86"/>
  <c r="B66" i="86"/>
  <c r="B65" i="86"/>
  <c r="B64" i="86"/>
  <c r="B63" i="86"/>
  <c r="B62" i="86"/>
  <c r="B61" i="86"/>
  <c r="B60" i="86"/>
  <c r="B59" i="86"/>
  <c r="B58" i="86"/>
  <c r="B57" i="86"/>
  <c r="B56" i="86"/>
  <c r="B55" i="86"/>
  <c r="B54" i="86"/>
  <c r="B53" i="86"/>
  <c r="B52" i="86"/>
  <c r="B51" i="86"/>
  <c r="B50" i="86"/>
  <c r="B49" i="86"/>
  <c r="B48" i="86"/>
  <c r="B47" i="86"/>
  <c r="B46" i="86"/>
  <c r="B45" i="86"/>
  <c r="B44" i="86"/>
  <c r="B43" i="86"/>
  <c r="B42" i="86"/>
  <c r="B41" i="86"/>
  <c r="B40" i="86"/>
  <c r="B39" i="86"/>
  <c r="B38" i="86"/>
  <c r="B37" i="86"/>
  <c r="B36" i="86"/>
  <c r="B35" i="86"/>
  <c r="B34" i="86"/>
  <c r="B33" i="86"/>
  <c r="B32" i="86"/>
  <c r="B31" i="86"/>
  <c r="B30" i="86"/>
  <c r="B29" i="86"/>
  <c r="B28" i="86"/>
  <c r="B27" i="86"/>
  <c r="B26" i="86"/>
  <c r="B25" i="86"/>
  <c r="B24" i="86"/>
  <c r="B23" i="86"/>
  <c r="B22" i="86"/>
  <c r="B21" i="86"/>
  <c r="B20" i="86"/>
  <c r="B19" i="86"/>
  <c r="B18" i="86"/>
  <c r="B17" i="86"/>
  <c r="B16" i="86"/>
  <c r="B15" i="86"/>
  <c r="B14" i="86"/>
  <c r="B13" i="86"/>
  <c r="B12" i="86"/>
  <c r="B11" i="86"/>
  <c r="B10" i="86"/>
  <c r="B9" i="86"/>
  <c r="B8" i="86"/>
  <c r="B7" i="86"/>
  <c r="B6" i="86"/>
  <c r="D4" i="85"/>
  <c r="E4" i="85"/>
  <c r="F4" i="85"/>
  <c r="G4" i="85"/>
  <c r="H4" i="85"/>
  <c r="I4" i="85"/>
  <c r="J4" i="85"/>
  <c r="K4" i="85"/>
  <c r="L4" i="85"/>
  <c r="M4" i="85"/>
  <c r="N4" i="85"/>
  <c r="O4" i="85"/>
  <c r="P4" i="85"/>
  <c r="Q4" i="85"/>
  <c r="R4" i="85"/>
  <c r="S4" i="85"/>
  <c r="T4" i="85"/>
  <c r="U4" i="85"/>
  <c r="V4" i="85"/>
  <c r="W4" i="85"/>
  <c r="X4" i="85"/>
  <c r="Y4" i="85"/>
  <c r="Z4" i="85"/>
  <c r="AA4" i="85"/>
  <c r="AB4" i="85"/>
  <c r="AC4" i="85"/>
  <c r="AD4" i="85"/>
  <c r="AE4" i="85"/>
  <c r="AF4" i="85"/>
  <c r="AG4" i="85"/>
  <c r="C4" i="85"/>
  <c r="C5" i="85" a="1"/>
  <c r="C5" i="85" s="1"/>
  <c r="B105" i="85"/>
  <c r="B104" i="85"/>
  <c r="B103" i="85"/>
  <c r="B102" i="85"/>
  <c r="B101" i="85"/>
  <c r="B100" i="85"/>
  <c r="B99" i="85"/>
  <c r="B98" i="85"/>
  <c r="B97" i="85"/>
  <c r="B96" i="85"/>
  <c r="B95" i="85"/>
  <c r="B94" i="85"/>
  <c r="B93" i="85"/>
  <c r="B92" i="85"/>
  <c r="B91" i="85"/>
  <c r="B90" i="85"/>
  <c r="B89" i="85"/>
  <c r="B88" i="85"/>
  <c r="B87" i="85"/>
  <c r="B86" i="85"/>
  <c r="B85" i="85"/>
  <c r="B84" i="85"/>
  <c r="B83" i="85"/>
  <c r="B82" i="85"/>
  <c r="B81" i="85"/>
  <c r="B80" i="85"/>
  <c r="B79" i="85"/>
  <c r="B78" i="85"/>
  <c r="B77" i="85"/>
  <c r="B76" i="85"/>
  <c r="B75" i="85"/>
  <c r="B74" i="85"/>
  <c r="B73" i="85"/>
  <c r="B72" i="85"/>
  <c r="B71" i="85"/>
  <c r="B70" i="85"/>
  <c r="B69" i="85"/>
  <c r="B68" i="85"/>
  <c r="B67" i="85"/>
  <c r="B66" i="85"/>
  <c r="B65" i="85"/>
  <c r="B64" i="85"/>
  <c r="B63" i="85"/>
  <c r="B62" i="85"/>
  <c r="B61" i="85"/>
  <c r="B60" i="85"/>
  <c r="B59" i="85"/>
  <c r="B58" i="85"/>
  <c r="B57" i="85"/>
  <c r="B56" i="85"/>
  <c r="B55" i="85"/>
  <c r="B54" i="85"/>
  <c r="B53" i="85"/>
  <c r="B52" i="85"/>
  <c r="B51" i="85"/>
  <c r="B50" i="85"/>
  <c r="B49" i="85"/>
  <c r="B48" i="85"/>
  <c r="B47" i="85"/>
  <c r="B46" i="85"/>
  <c r="B45" i="85"/>
  <c r="B44" i="85"/>
  <c r="B43" i="85"/>
  <c r="B42" i="85"/>
  <c r="B41" i="85"/>
  <c r="B40" i="85"/>
  <c r="B39" i="85"/>
  <c r="B38" i="85"/>
  <c r="B37" i="85"/>
  <c r="B36" i="85"/>
  <c r="B35" i="85"/>
  <c r="B34" i="85"/>
  <c r="B33" i="85"/>
  <c r="B32" i="85"/>
  <c r="B31" i="85"/>
  <c r="B30" i="85"/>
  <c r="B29" i="85"/>
  <c r="B28" i="85"/>
  <c r="B27" i="85"/>
  <c r="B26" i="85"/>
  <c r="B25" i="85"/>
  <c r="B24" i="85"/>
  <c r="B23" i="85"/>
  <c r="B22" i="85"/>
  <c r="B21" i="85"/>
  <c r="B20" i="85"/>
  <c r="B19" i="85"/>
  <c r="B18" i="85"/>
  <c r="B17" i="85"/>
  <c r="B16" i="85"/>
  <c r="B15" i="85"/>
  <c r="B14" i="85"/>
  <c r="B13" i="85"/>
  <c r="B12" i="85"/>
  <c r="B11" i="85"/>
  <c r="B10" i="85"/>
  <c r="B9" i="85"/>
  <c r="B8" i="85"/>
  <c r="B7" i="85"/>
  <c r="B6" i="85"/>
  <c r="D4" i="84"/>
  <c r="E4" i="84"/>
  <c r="F4" i="84"/>
  <c r="G4" i="84"/>
  <c r="H4" i="84"/>
  <c r="I4" i="84"/>
  <c r="J4" i="84"/>
  <c r="K4" i="84"/>
  <c r="L4" i="84"/>
  <c r="M4" i="84"/>
  <c r="N4" i="84"/>
  <c r="O4" i="84"/>
  <c r="P4" i="84"/>
  <c r="Q4" i="84"/>
  <c r="R4" i="84"/>
  <c r="S4" i="84"/>
  <c r="T4" i="84"/>
  <c r="U4" i="84"/>
  <c r="V4" i="84"/>
  <c r="W4" i="84"/>
  <c r="X4" i="84"/>
  <c r="Y4" i="84"/>
  <c r="Z4" i="84"/>
  <c r="AA4" i="84"/>
  <c r="AB4" i="84"/>
  <c r="AC4" i="84"/>
  <c r="AD4" i="84"/>
  <c r="AE4" i="84"/>
  <c r="AF4" i="84"/>
  <c r="AG4" i="84"/>
  <c r="C4" i="84"/>
  <c r="C5" i="84" a="1"/>
  <c r="C5" i="84" s="1"/>
  <c r="B105" i="84"/>
  <c r="B104" i="84"/>
  <c r="B103" i="84"/>
  <c r="B102" i="84"/>
  <c r="B101" i="84"/>
  <c r="B100" i="84"/>
  <c r="B99" i="84"/>
  <c r="B98" i="84"/>
  <c r="B97" i="84"/>
  <c r="B96" i="84"/>
  <c r="B95" i="84"/>
  <c r="B94" i="84"/>
  <c r="B93" i="84"/>
  <c r="B92" i="84"/>
  <c r="B91" i="84"/>
  <c r="B90" i="84"/>
  <c r="B89" i="84"/>
  <c r="B88" i="84"/>
  <c r="B87" i="84"/>
  <c r="B86" i="84"/>
  <c r="B85" i="84"/>
  <c r="B84" i="84"/>
  <c r="B83" i="84"/>
  <c r="B82" i="84"/>
  <c r="B81" i="84"/>
  <c r="B80" i="84"/>
  <c r="B79" i="84"/>
  <c r="B78" i="84"/>
  <c r="B77" i="84"/>
  <c r="B76" i="84"/>
  <c r="B75" i="84"/>
  <c r="B74" i="84"/>
  <c r="B73" i="84"/>
  <c r="B72" i="84"/>
  <c r="B71" i="84"/>
  <c r="B70" i="84"/>
  <c r="B69" i="84"/>
  <c r="B68" i="84"/>
  <c r="B67" i="84"/>
  <c r="B66" i="84"/>
  <c r="B65" i="84"/>
  <c r="B64" i="84"/>
  <c r="B63" i="84"/>
  <c r="B62" i="84"/>
  <c r="B61" i="84"/>
  <c r="B60" i="84"/>
  <c r="B59" i="84"/>
  <c r="B58" i="84"/>
  <c r="B57" i="84"/>
  <c r="B56" i="84"/>
  <c r="B55" i="84"/>
  <c r="B54" i="84"/>
  <c r="B53" i="84"/>
  <c r="B52" i="84"/>
  <c r="B51" i="84"/>
  <c r="B50" i="84"/>
  <c r="B49" i="84"/>
  <c r="B48" i="84"/>
  <c r="B47" i="84"/>
  <c r="B46" i="84"/>
  <c r="B45" i="84"/>
  <c r="B44" i="84"/>
  <c r="B43" i="84"/>
  <c r="B42" i="84"/>
  <c r="B41" i="84"/>
  <c r="B40" i="84"/>
  <c r="B39" i="84"/>
  <c r="B38" i="84"/>
  <c r="B37" i="84"/>
  <c r="B36" i="84"/>
  <c r="B35" i="84"/>
  <c r="B34" i="84"/>
  <c r="B33" i="84"/>
  <c r="B32" i="84"/>
  <c r="B31" i="84"/>
  <c r="B30" i="84"/>
  <c r="B29" i="84"/>
  <c r="B28" i="84"/>
  <c r="B27" i="84"/>
  <c r="B26" i="84"/>
  <c r="B25" i="84"/>
  <c r="B24" i="84"/>
  <c r="B23" i="84"/>
  <c r="B22" i="84"/>
  <c r="B21" i="84"/>
  <c r="B20" i="84"/>
  <c r="B19" i="84"/>
  <c r="B18" i="84"/>
  <c r="B17" i="84"/>
  <c r="B16" i="84"/>
  <c r="B15" i="84"/>
  <c r="B14" i="84"/>
  <c r="B13" i="84"/>
  <c r="B12" i="84"/>
  <c r="B11" i="84"/>
  <c r="B10" i="84"/>
  <c r="B9" i="84"/>
  <c r="B8" i="84"/>
  <c r="B7" i="84"/>
  <c r="B6" i="84"/>
  <c r="D4" i="83"/>
  <c r="E4" i="83"/>
  <c r="F4" i="83"/>
  <c r="G4" i="83"/>
  <c r="H4" i="83"/>
  <c r="I4" i="83"/>
  <c r="J4" i="83"/>
  <c r="K4" i="83"/>
  <c r="L4" i="83"/>
  <c r="M4" i="83"/>
  <c r="N4" i="83"/>
  <c r="O4" i="83"/>
  <c r="P4" i="83"/>
  <c r="Q4" i="83"/>
  <c r="R4" i="83"/>
  <c r="S4" i="83"/>
  <c r="T4" i="83"/>
  <c r="U4" i="83"/>
  <c r="V4" i="83"/>
  <c r="W4" i="83"/>
  <c r="X4" i="83"/>
  <c r="Y4" i="83"/>
  <c r="Z4" i="83"/>
  <c r="AA4" i="83"/>
  <c r="AB4" i="83"/>
  <c r="AC4" i="83"/>
  <c r="AD4" i="83"/>
  <c r="AE4" i="83"/>
  <c r="AF4" i="83"/>
  <c r="AG4" i="83"/>
  <c r="C4" i="83"/>
  <c r="C5" i="83" a="1"/>
  <c r="C5" i="83" s="1"/>
  <c r="B105" i="83"/>
  <c r="B104" i="83"/>
  <c r="B103" i="83"/>
  <c r="B102" i="83"/>
  <c r="B101" i="83"/>
  <c r="B100" i="83"/>
  <c r="B99" i="83"/>
  <c r="B98" i="83"/>
  <c r="B97" i="83"/>
  <c r="B96" i="83"/>
  <c r="B95" i="83"/>
  <c r="B94" i="83"/>
  <c r="B93" i="83"/>
  <c r="B92" i="83"/>
  <c r="B91" i="83"/>
  <c r="B90" i="83"/>
  <c r="B89" i="83"/>
  <c r="B88" i="83"/>
  <c r="B87" i="83"/>
  <c r="B86" i="83"/>
  <c r="B85" i="83"/>
  <c r="B84" i="83"/>
  <c r="B83" i="83"/>
  <c r="B82" i="83"/>
  <c r="B81" i="83"/>
  <c r="B80" i="83"/>
  <c r="B79" i="83"/>
  <c r="B78" i="83"/>
  <c r="B77" i="83"/>
  <c r="B76" i="83"/>
  <c r="B75" i="83"/>
  <c r="B74" i="83"/>
  <c r="B73" i="83"/>
  <c r="B72" i="83"/>
  <c r="B71" i="83"/>
  <c r="B70" i="83"/>
  <c r="B69" i="83"/>
  <c r="B68" i="83"/>
  <c r="B67" i="83"/>
  <c r="B66" i="83"/>
  <c r="B65" i="83"/>
  <c r="B64" i="83"/>
  <c r="B63" i="83"/>
  <c r="B62" i="83"/>
  <c r="B61" i="83"/>
  <c r="B60" i="83"/>
  <c r="B59" i="83"/>
  <c r="B58" i="83"/>
  <c r="B57" i="83"/>
  <c r="B56" i="83"/>
  <c r="B55" i="83"/>
  <c r="B54" i="83"/>
  <c r="B53" i="83"/>
  <c r="B52" i="83"/>
  <c r="B51" i="83"/>
  <c r="B50" i="83"/>
  <c r="B49" i="83"/>
  <c r="B48" i="83"/>
  <c r="B47" i="83"/>
  <c r="B46" i="83"/>
  <c r="B45" i="83"/>
  <c r="B44" i="83"/>
  <c r="B43" i="83"/>
  <c r="B42" i="83"/>
  <c r="B41" i="83"/>
  <c r="B40" i="83"/>
  <c r="B39" i="83"/>
  <c r="B38" i="83"/>
  <c r="B37" i="83"/>
  <c r="B36" i="83"/>
  <c r="B35" i="83"/>
  <c r="B34" i="83"/>
  <c r="B33" i="83"/>
  <c r="B32" i="83"/>
  <c r="B31" i="83"/>
  <c r="B30" i="83"/>
  <c r="B29" i="83"/>
  <c r="B28" i="83"/>
  <c r="B27" i="83"/>
  <c r="B26" i="83"/>
  <c r="B25" i="83"/>
  <c r="B24" i="83"/>
  <c r="B23" i="83"/>
  <c r="B22" i="83"/>
  <c r="B21" i="83"/>
  <c r="B20" i="83"/>
  <c r="B19" i="83"/>
  <c r="B18" i="83"/>
  <c r="B17" i="83"/>
  <c r="B16" i="83"/>
  <c r="B15" i="83"/>
  <c r="B14" i="83"/>
  <c r="B13" i="83"/>
  <c r="B12" i="83"/>
  <c r="B11" i="83"/>
  <c r="B10" i="83"/>
  <c r="B9" i="83"/>
  <c r="B8" i="83"/>
  <c r="B7" i="83"/>
  <c r="B6" i="83"/>
  <c r="D4" i="82"/>
  <c r="E4" i="82"/>
  <c r="F4" i="82"/>
  <c r="G4" i="82"/>
  <c r="H4" i="82"/>
  <c r="I4" i="82"/>
  <c r="J4" i="82"/>
  <c r="K4" i="82"/>
  <c r="L4" i="82"/>
  <c r="M4" i="82"/>
  <c r="N4" i="82"/>
  <c r="O4" i="82"/>
  <c r="P4" i="82"/>
  <c r="Q4" i="82"/>
  <c r="R4" i="82"/>
  <c r="S4" i="82"/>
  <c r="T4" i="82"/>
  <c r="U4" i="82"/>
  <c r="V4" i="82"/>
  <c r="W4" i="82"/>
  <c r="X4" i="82"/>
  <c r="Y4" i="82"/>
  <c r="Z4" i="82"/>
  <c r="AA4" i="82"/>
  <c r="AB4" i="82"/>
  <c r="AC4" i="82"/>
  <c r="AD4" i="82"/>
  <c r="AE4" i="82"/>
  <c r="AF4" i="82"/>
  <c r="AG4" i="82"/>
  <c r="C4" i="82"/>
  <c r="C5" i="82" a="1"/>
  <c r="C5" i="82" s="1"/>
  <c r="B105" i="82"/>
  <c r="B104" i="82"/>
  <c r="B103" i="82"/>
  <c r="B102" i="82"/>
  <c r="B101" i="82"/>
  <c r="B100" i="82"/>
  <c r="B99" i="82"/>
  <c r="B98" i="82"/>
  <c r="B97" i="82"/>
  <c r="B96" i="82"/>
  <c r="B95" i="82"/>
  <c r="B94" i="82"/>
  <c r="B93" i="82"/>
  <c r="B92" i="82"/>
  <c r="B91" i="82"/>
  <c r="B90" i="82"/>
  <c r="B89" i="82"/>
  <c r="B88" i="82"/>
  <c r="B87" i="82"/>
  <c r="B86" i="82"/>
  <c r="B85" i="82"/>
  <c r="B84" i="82"/>
  <c r="B83" i="82"/>
  <c r="B82" i="82"/>
  <c r="B81" i="82"/>
  <c r="B80" i="82"/>
  <c r="B79" i="82"/>
  <c r="B78" i="82"/>
  <c r="B77" i="82"/>
  <c r="B76" i="82"/>
  <c r="B75" i="82"/>
  <c r="B74" i="82"/>
  <c r="B73" i="82"/>
  <c r="B72" i="82"/>
  <c r="B71" i="82"/>
  <c r="B70" i="82"/>
  <c r="B69" i="82"/>
  <c r="B68" i="82"/>
  <c r="B67" i="82"/>
  <c r="B66" i="82"/>
  <c r="B65" i="82"/>
  <c r="B64" i="82"/>
  <c r="B63" i="82"/>
  <c r="B62" i="82"/>
  <c r="B61" i="82"/>
  <c r="B60" i="82"/>
  <c r="B59" i="82"/>
  <c r="B58" i="82"/>
  <c r="B57" i="82"/>
  <c r="B56" i="82"/>
  <c r="B55" i="82"/>
  <c r="B54" i="82"/>
  <c r="B53" i="82"/>
  <c r="B52" i="82"/>
  <c r="B51" i="82"/>
  <c r="B50" i="82"/>
  <c r="B49" i="82"/>
  <c r="B48" i="82"/>
  <c r="B47" i="82"/>
  <c r="B46" i="82"/>
  <c r="B45" i="82"/>
  <c r="B44" i="82"/>
  <c r="B43" i="82"/>
  <c r="B42" i="82"/>
  <c r="B41" i="82"/>
  <c r="B40" i="82"/>
  <c r="B39" i="82"/>
  <c r="B38" i="82"/>
  <c r="B37" i="82"/>
  <c r="B36" i="82"/>
  <c r="B35" i="82"/>
  <c r="B34" i="82"/>
  <c r="B33" i="82"/>
  <c r="B32" i="82"/>
  <c r="B31" i="82"/>
  <c r="B30" i="82"/>
  <c r="B29" i="82"/>
  <c r="B28" i="82"/>
  <c r="B27" i="82"/>
  <c r="B26" i="82"/>
  <c r="B25" i="82"/>
  <c r="B24" i="82"/>
  <c r="B23" i="82"/>
  <c r="B22" i="82"/>
  <c r="B21" i="82"/>
  <c r="B20" i="82"/>
  <c r="B19" i="82"/>
  <c r="B18" i="82"/>
  <c r="B17" i="82"/>
  <c r="B16" i="82"/>
  <c r="B15" i="82"/>
  <c r="B14" i="82"/>
  <c r="B13" i="82"/>
  <c r="B12" i="82"/>
  <c r="B11" i="82"/>
  <c r="B10" i="82"/>
  <c r="B9" i="82"/>
  <c r="B8" i="82"/>
  <c r="B7" i="82"/>
  <c r="B6" i="82"/>
  <c r="D4" i="81"/>
  <c r="E4" i="81"/>
  <c r="F4" i="81"/>
  <c r="G4" i="81"/>
  <c r="H4" i="81"/>
  <c r="I4" i="81"/>
  <c r="J4" i="81"/>
  <c r="K4" i="81"/>
  <c r="L4" i="81"/>
  <c r="M4" i="81"/>
  <c r="N4" i="81"/>
  <c r="O4" i="81"/>
  <c r="P4" i="81"/>
  <c r="Q4" i="81"/>
  <c r="R4" i="81"/>
  <c r="S4" i="81"/>
  <c r="T4" i="81"/>
  <c r="U4" i="81"/>
  <c r="V4" i="81"/>
  <c r="W4" i="81"/>
  <c r="X4" i="81"/>
  <c r="Y4" i="81"/>
  <c r="Z4" i="81"/>
  <c r="AA4" i="81"/>
  <c r="AB4" i="81"/>
  <c r="AC4" i="81"/>
  <c r="AD4" i="81"/>
  <c r="AE4" i="81"/>
  <c r="AF4" i="81"/>
  <c r="AG4" i="81"/>
  <c r="C4" i="81"/>
  <c r="C5" i="81" a="1"/>
  <c r="C5" i="81" s="1"/>
  <c r="B105" i="81"/>
  <c r="B104" i="81"/>
  <c r="B103" i="81"/>
  <c r="B102" i="81"/>
  <c r="B101" i="81"/>
  <c r="B100" i="81"/>
  <c r="B99" i="81"/>
  <c r="B98" i="81"/>
  <c r="B97" i="81"/>
  <c r="B96" i="81"/>
  <c r="B95" i="81"/>
  <c r="B94" i="81"/>
  <c r="B93" i="81"/>
  <c r="B92" i="81"/>
  <c r="B91" i="81"/>
  <c r="B90" i="81"/>
  <c r="B89" i="81"/>
  <c r="B88" i="81"/>
  <c r="B87" i="81"/>
  <c r="B86" i="81"/>
  <c r="B85" i="81"/>
  <c r="B84" i="81"/>
  <c r="B83" i="81"/>
  <c r="B82" i="81"/>
  <c r="B81" i="81"/>
  <c r="B80" i="81"/>
  <c r="B79" i="81"/>
  <c r="B78" i="81"/>
  <c r="B77" i="81"/>
  <c r="B76" i="81"/>
  <c r="B75" i="81"/>
  <c r="B74" i="81"/>
  <c r="B73" i="81"/>
  <c r="B72" i="81"/>
  <c r="B71" i="81"/>
  <c r="B70" i="81"/>
  <c r="B69" i="81"/>
  <c r="B68" i="81"/>
  <c r="B67" i="81"/>
  <c r="B66" i="81"/>
  <c r="B65" i="81"/>
  <c r="B64" i="81"/>
  <c r="B63" i="81"/>
  <c r="B62" i="81"/>
  <c r="B61" i="81"/>
  <c r="B60" i="81"/>
  <c r="B59" i="81"/>
  <c r="B58" i="81"/>
  <c r="B57" i="81"/>
  <c r="B56" i="81"/>
  <c r="B55" i="81"/>
  <c r="B54" i="81"/>
  <c r="B53" i="81"/>
  <c r="B52" i="81"/>
  <c r="B51" i="81"/>
  <c r="B50" i="81"/>
  <c r="B49" i="81"/>
  <c r="B48" i="81"/>
  <c r="B47" i="81"/>
  <c r="B46" i="81"/>
  <c r="B45" i="81"/>
  <c r="B44" i="81"/>
  <c r="B43" i="81"/>
  <c r="B42" i="81"/>
  <c r="B41" i="81"/>
  <c r="B40" i="81"/>
  <c r="B39" i="81"/>
  <c r="B38" i="81"/>
  <c r="B37" i="81"/>
  <c r="B36" i="81"/>
  <c r="B35" i="81"/>
  <c r="B34" i="81"/>
  <c r="B33" i="81"/>
  <c r="B32" i="81"/>
  <c r="B31" i="81"/>
  <c r="B30" i="81"/>
  <c r="B29" i="81"/>
  <c r="B28" i="81"/>
  <c r="B27" i="81"/>
  <c r="B26" i="81"/>
  <c r="B25" i="81"/>
  <c r="B24" i="81"/>
  <c r="B23" i="81"/>
  <c r="B22" i="81"/>
  <c r="B21" i="81"/>
  <c r="B20" i="81"/>
  <c r="B19" i="81"/>
  <c r="B18" i="81"/>
  <c r="B17" i="81"/>
  <c r="B16" i="81"/>
  <c r="B15" i="81"/>
  <c r="B14" i="81"/>
  <c r="B13" i="81"/>
  <c r="B12" i="81"/>
  <c r="B11" i="81"/>
  <c r="B10" i="81"/>
  <c r="B9" i="81"/>
  <c r="B8" i="81"/>
  <c r="B7" i="81"/>
  <c r="B6" i="81"/>
  <c r="D10" i="94" l="1"/>
  <c r="D7" i="94"/>
  <c r="D8" i="94"/>
  <c r="D9" i="9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<sst xmlns="http://schemas.openxmlformats.org/spreadsheetml/2006/main" count="209" uniqueCount="22">
  <si>
    <t>حضور</t>
  </si>
  <si>
    <t>غياب</t>
  </si>
  <si>
    <t>م</t>
  </si>
  <si>
    <t>اسم الموظف</t>
  </si>
  <si>
    <t>إجمالي الحضور</t>
  </si>
  <si>
    <t>إجمالي الغياب</t>
  </si>
  <si>
    <t>ح</t>
  </si>
  <si>
    <t>غ</t>
  </si>
  <si>
    <t>ج</t>
  </si>
  <si>
    <t>الحالة:</t>
  </si>
  <si>
    <t>إجازة</t>
  </si>
  <si>
    <t>مرضي</t>
  </si>
  <si>
    <t>الاختصار:</t>
  </si>
  <si>
    <t>إجمالي الإجازات</t>
  </si>
  <si>
    <t>إجمالي المرضي</t>
  </si>
  <si>
    <t>طريقة الاستخدام</t>
  </si>
  <si>
    <t>لوحة تحكم الأداء</t>
  </si>
  <si>
    <t>الحالة</t>
  </si>
  <si>
    <t>العدد</t>
  </si>
  <si>
    <t>النسبة</t>
  </si>
  <si>
    <t>اختر اسم الموظف:</t>
  </si>
  <si>
    <t>أسماء الموظفين تكتب مرة واحد فقط في الشيت الأول في عمود اسم الموظف ---- عند الحضور يكتب حرف "ح" وعند الغياب يكتب حرف "غ" و "ج" عند الإجازة و "م" في حالة المرضي ويتم احتساب الأيام تلقائيًا لكل شهر وللسنة كلها في شيت Annual Report وال Dashboard اللي في آخر الشيت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</si>
</sst>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"/>
    <numFmt numFmtId="165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6"/>
      <color rgb="FF000000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center" textRotation="90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1" fontId="0" fillId="2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5" borderId="0" xfId="0" applyFont="1" applyFill="1" applyAlignment="1">
      <alignment horizontal="center" vertical="center" wrapText="1" readingOrder="2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72">
    <dxf>
      <font>
        <color rgb="FF1F4E78"/>
      </font>
      <fill>
        <patternFill>
          <bgColor rgb="FFBDD7EE"/>
        </patternFill>
      </fill>
    </dxf>
    <dxf>
      <font>
        <color rgb="FF660033"/>
      </font>
      <fill>
        <patternFill>
          <bgColor rgb="FFFF99CC"/>
        </patternFill>
      </fill>
    </dxf>
    <dxf>
      <font>
        <color rgb="FF003399"/>
      </font>
      <fill>
        <patternFill>
          <bgColor rgb="FFCCE5FF"/>
        </patternFill>
      </fill>
    </dxf>
    <dxf>
      <font>
        <color rgb="FF960064"/>
      </font>
      <fill>
        <patternFill>
          <bgColor rgb="FFFFCCE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1F4E78"/>
      </font>
      <fill>
        <patternFill>
          <bgColor rgb="FFBDD7EE"/>
        </patternFill>
      </fill>
    </dxf>
    <dxf>
      <font>
        <color rgb="FF660033"/>
      </font>
      <fill>
        <patternFill>
          <bgColor rgb="FFFF99CC"/>
        </patternFill>
      </fill>
    </dxf>
    <dxf>
      <font>
        <color rgb="FF003399"/>
      </font>
      <fill>
        <patternFill>
          <bgColor rgb="FFCCE5FF"/>
        </patternFill>
      </fill>
    </dxf>
    <dxf>
      <font>
        <color rgb="FF960064"/>
      </font>
      <fill>
        <patternFill>
          <bgColor rgb="FFFFCCE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1F4E78"/>
      </font>
      <fill>
        <patternFill>
          <bgColor rgb="FFBDD7EE"/>
        </patternFill>
      </fill>
    </dxf>
    <dxf>
      <font>
        <color rgb="FF660033"/>
      </font>
      <fill>
        <patternFill>
          <bgColor rgb="FFFF99CC"/>
        </patternFill>
      </fill>
    </dxf>
    <dxf>
      <font>
        <color rgb="FF003399"/>
      </font>
      <fill>
        <patternFill>
          <bgColor rgb="FFCCE5FF"/>
        </patternFill>
      </fill>
    </dxf>
    <dxf>
      <font>
        <color rgb="FF960064"/>
      </font>
      <fill>
        <patternFill>
          <bgColor rgb="FFFFCCE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1F4E78"/>
      </font>
      <fill>
        <patternFill>
          <bgColor rgb="FFBDD7EE"/>
        </patternFill>
      </fill>
    </dxf>
    <dxf>
      <font>
        <color rgb="FF660033"/>
      </font>
      <fill>
        <patternFill>
          <bgColor rgb="FFFF99CC"/>
        </patternFill>
      </fill>
    </dxf>
    <dxf>
      <font>
        <color rgb="FF003399"/>
      </font>
      <fill>
        <patternFill>
          <bgColor rgb="FFCCE5FF"/>
        </patternFill>
      </fill>
    </dxf>
    <dxf>
      <font>
        <color rgb="FF960064"/>
      </font>
      <fill>
        <patternFill>
          <bgColor rgb="FFFFCCE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1F4E78"/>
      </font>
      <fill>
        <patternFill>
          <bgColor rgb="FFBDD7EE"/>
        </patternFill>
      </fill>
    </dxf>
    <dxf>
      <font>
        <color rgb="FF660033"/>
      </font>
      <fill>
        <patternFill>
          <bgColor rgb="FFFF99CC"/>
        </patternFill>
      </fill>
    </dxf>
    <dxf>
      <font>
        <color rgb="FF003399"/>
      </font>
      <fill>
        <patternFill>
          <bgColor rgb="FFCCE5FF"/>
        </patternFill>
      </fill>
    </dxf>
    <dxf>
      <font>
        <color rgb="FF960064"/>
      </font>
      <fill>
        <patternFill>
          <bgColor rgb="FFFFCCE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1F4E78"/>
      </font>
      <fill>
        <patternFill>
          <bgColor rgb="FFBDD7EE"/>
        </patternFill>
      </fill>
    </dxf>
    <dxf>
      <font>
        <color rgb="FF660033"/>
      </font>
      <fill>
        <patternFill>
          <bgColor rgb="FFFF99CC"/>
        </patternFill>
      </fill>
    </dxf>
    <dxf>
      <font>
        <color rgb="FF003399"/>
      </font>
      <fill>
        <patternFill>
          <bgColor rgb="FFCCE5FF"/>
        </patternFill>
      </fill>
    </dxf>
    <dxf>
      <font>
        <color rgb="FF960064"/>
      </font>
      <fill>
        <patternFill>
          <bgColor rgb="FFFFCCE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1F4E78"/>
      </font>
      <fill>
        <patternFill>
          <bgColor rgb="FFBDD7EE"/>
        </patternFill>
      </fill>
    </dxf>
    <dxf>
      <font>
        <color rgb="FF660033"/>
      </font>
      <fill>
        <patternFill>
          <bgColor rgb="FFFF99CC"/>
        </patternFill>
      </fill>
    </dxf>
    <dxf>
      <font>
        <color rgb="FF003399"/>
      </font>
      <fill>
        <patternFill>
          <bgColor rgb="FFCCE5FF"/>
        </patternFill>
      </fill>
    </dxf>
    <dxf>
      <font>
        <color rgb="FF960064"/>
      </font>
      <fill>
        <patternFill>
          <bgColor rgb="FFFFCCE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1F4E78"/>
      </font>
      <fill>
        <patternFill>
          <bgColor rgb="FFBDD7EE"/>
        </patternFill>
      </fill>
    </dxf>
    <dxf>
      <font>
        <color rgb="FF660033"/>
      </font>
      <fill>
        <patternFill>
          <bgColor rgb="FFFF99CC"/>
        </patternFill>
      </fill>
    </dxf>
    <dxf>
      <font>
        <color rgb="FF003399"/>
      </font>
      <fill>
        <patternFill>
          <bgColor rgb="FFCCE5FF"/>
        </patternFill>
      </fill>
    </dxf>
    <dxf>
      <font>
        <color rgb="FF960064"/>
      </font>
      <fill>
        <patternFill>
          <bgColor rgb="FFFFCCE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1F4E78"/>
      </font>
      <fill>
        <patternFill>
          <bgColor rgb="FFBDD7EE"/>
        </patternFill>
      </fill>
    </dxf>
    <dxf>
      <font>
        <color rgb="FF660033"/>
      </font>
      <fill>
        <patternFill>
          <bgColor rgb="FFFF99CC"/>
        </patternFill>
      </fill>
    </dxf>
    <dxf>
      <font>
        <color rgb="FF003399"/>
      </font>
      <fill>
        <patternFill>
          <bgColor rgb="FFCCE5FF"/>
        </patternFill>
      </fill>
    </dxf>
    <dxf>
      <font>
        <color rgb="FF960064"/>
      </font>
      <fill>
        <patternFill>
          <bgColor rgb="FFFFCCE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1F4E78"/>
      </font>
      <fill>
        <patternFill>
          <bgColor rgb="FFBDD7EE"/>
        </patternFill>
      </fill>
    </dxf>
    <dxf>
      <font>
        <color rgb="FF660033"/>
      </font>
      <fill>
        <patternFill>
          <bgColor rgb="FFFF99CC"/>
        </patternFill>
      </fill>
    </dxf>
    <dxf>
      <font>
        <color rgb="FF003399"/>
      </font>
      <fill>
        <patternFill>
          <bgColor rgb="FFCCE5FF"/>
        </patternFill>
      </fill>
    </dxf>
    <dxf>
      <font>
        <color rgb="FF960064"/>
      </font>
      <fill>
        <patternFill>
          <bgColor rgb="FFFFCCE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1F4E78"/>
      </font>
      <fill>
        <patternFill>
          <bgColor rgb="FFBDD7EE"/>
        </patternFill>
      </fill>
    </dxf>
    <dxf>
      <font>
        <color rgb="FF660033"/>
      </font>
      <fill>
        <patternFill>
          <bgColor rgb="FFFF99CC"/>
        </patternFill>
      </fill>
    </dxf>
    <dxf>
      <font>
        <color rgb="FF003399"/>
      </font>
      <fill>
        <patternFill>
          <bgColor rgb="FFCCE5FF"/>
        </patternFill>
      </fill>
    </dxf>
    <dxf>
      <font>
        <color rgb="FF960064"/>
      </font>
      <fill>
        <patternFill>
          <bgColor rgb="FFFFCCE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400"/>
      </font>
      <fill>
        <patternFill>
          <bgColor rgb="FFC6EFCE"/>
        </patternFill>
      </fill>
    </dxf>
    <dxf>
      <font>
        <color rgb="FF1F4E78"/>
      </font>
      <fill>
        <patternFill>
          <bgColor rgb="FFBDD7EE"/>
        </patternFill>
      </fill>
    </dxf>
    <dxf>
      <font>
        <color rgb="FF660033"/>
      </font>
      <fill>
        <patternFill>
          <bgColor rgb="FFFF99CC"/>
        </patternFill>
      </fill>
    </dxf>
    <dxf>
      <font>
        <color rgb="FF003399"/>
      </font>
      <fill>
        <patternFill>
          <bgColor rgb="FFCCE5FF"/>
        </patternFill>
      </fill>
    </dxf>
    <dxf>
      <font>
        <color rgb="FF960064"/>
      </font>
      <fill>
        <patternFill>
          <bgColor rgb="FFFFCCE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4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ar-EG"/>
              <a:t>توزيع الحالات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explosion val="25"/>
          <c:cat>
            <c:strRef>
              <c:f>Dashboard!$B$7:$B$10</c:f>
              <c:strCache>
                <c:ptCount val="4"/>
                <c:pt idx="0">
                  <c:v>حضور</c:v>
                </c:pt>
                <c:pt idx="1">
                  <c:v>غياب</c:v>
                </c:pt>
                <c:pt idx="2">
                  <c:v>إجازة</c:v>
                </c:pt>
                <c:pt idx="3">
                  <c:v>مرضي</c:v>
                </c:pt>
              </c:strCache>
            </c:strRef>
          </c:cat>
          <c:val>
            <c:numRef>
              <c:f>Dashboard!$C$7:$C$10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97-474D-BC5E-970E83C38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238125</xdr:colOff>
      <xdr:row>2</xdr:row>
      <xdr:rowOff>15875</xdr:rowOff>
    </xdr:from>
    <xdr:to>
      <xdr:col>16</xdr:col>
      <xdr:colOff>441325</xdr:colOff>
      <xdr:row>18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EB1186-0B27-57DE-BC9F-C0B5580677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6C850-57A8-48BC-A92E-2BD7DD760980}">
  <sheetPr codeName="Sheet80"/>
  <dimension ref="A1:O101"/>
  <sheetViews>
    <sheetView rightToLeft="1" tabSelected="1" zoomScale="74" workbookViewId="0">
      <selection activeCell="I3" sqref="I3:O9"/>
    </sheetView>
  </sheetViews>
  <sheetFormatPr defaultRowHeight="15" x14ac:dyDescent="0.25"/>
  <cols>
    <col min="1" max="1" width="4.42578125" bestFit="1" customWidth="1"/>
    <col min="2" max="2" width="21.85546875" customWidth="1"/>
    <col min="3" max="3" width="13.85546875" customWidth="1"/>
    <col min="4" max="4" width="12.42578125" customWidth="1"/>
    <col min="5" max="5" width="14.28515625" customWidth="1"/>
    <col min="6" max="6" width="14" customWidth="1"/>
  </cols>
  <sheetData>
    <row r="1" spans="1:15" x14ac:dyDescent="0.25">
      <c r="A1" s="7" t="s">
        <v>2</v>
      </c>
      <c r="B1" s="7" t="s">
        <v>3</v>
      </c>
      <c r="C1" s="7" t="s">
        <v>4</v>
      </c>
      <c r="D1" s="7" t="s">
        <v>5</v>
      </c>
      <c r="E1" s="7" t="s">
        <v>13</v>
      </c>
      <c r="F1" s="7" t="s">
        <v>14</v>
      </c>
      <c r="I1" s="17" t="s">
        <v>15</v>
      </c>
      <c r="J1" s="17"/>
      <c r="K1" s="17"/>
      <c r="L1" s="17"/>
      <c r="M1" s="17"/>
      <c r="N1" s="17"/>
      <c r="O1" s="17"/>
    </row>
    <row r="2" spans="1:15" ht="15" customHeight="1" x14ac:dyDescent="0.25">
      <c r="A2" s="10">
        <v>1</v>
      </c>
      <c r="B2" s="10"/>
      <c r="C2" s="11">
        <f>January!AH6+February!AH6+March!AH6+April!AH6+May!AH6+June!AH6+July!AH6+August!AH6+September!AH6+October!AH6+November!AH6+December!AH6</f>
        <v>0</v>
      </c>
      <c r="D2" s="11">
        <f>January!AI6+February!AI6+March!AI6+April!AI6+May!AI6+June!AI6+July!AI6+August!AI6+September!AI6+October!AI6+November!AI6+December!AI6</f>
        <v>0</v>
      </c>
      <c r="E2" s="11">
        <f>January!AJ6+February!AJ6+March!AJ6+April!AJ6+May!AJ6+June!AJ6+July!AJ6+August!AJ6+September!AJ6+October!AJ6+November!AJ6+December!AJ6</f>
        <v>0</v>
      </c>
      <c r="F2" s="11">
        <f>January!AK6+February!AK6+March!AK6+April!AK6+May!AK6+June!AK6+July!AK6+August!AK6+September!AK6+October!AK6+November!AK6+December!AK6</f>
        <v>0</v>
      </c>
      <c r="I2" s="17"/>
      <c r="J2" s="17"/>
      <c r="K2" s="17"/>
      <c r="L2" s="17"/>
      <c r="M2" s="17"/>
      <c r="N2" s="17"/>
      <c r="O2" s="17"/>
    </row>
    <row r="3" spans="1:15" ht="15" customHeight="1" x14ac:dyDescent="0.25">
      <c r="A3" s="10">
        <v>2</v>
      </c>
      <c r="B3" s="10"/>
      <c r="C3" s="11">
        <f>January!AH7+February!AH7+March!AH7+April!AH7+May!AH7+June!AH7+July!AH7+August!AH7+September!AH7+October!AH7+November!AH7+December!AH7</f>
        <v>0</v>
      </c>
      <c r="D3" s="11">
        <f>January!AI7+February!AI7+March!AI7+April!AI7+May!AI7+June!AI7+July!AI7+August!AI7+September!AI7+October!AI7+November!AI7+December!AI7</f>
        <v>0</v>
      </c>
      <c r="E3" s="11">
        <f>January!AJ7+February!AJ7+March!AJ7+April!AJ7+May!AJ7+June!AJ7+July!AJ7+August!AJ7+September!AJ7+October!AJ7+November!AJ7+December!AJ7</f>
        <v>0</v>
      </c>
      <c r="F3" s="11">
        <f>January!AK7+February!AK7+March!AK7+April!AK7+May!AK7+June!AK7+July!AK7+August!AK7+September!AK7+October!AK7+November!AK7+December!AK7</f>
        <v>0</v>
      </c>
      <c r="I3" s="18" t="s">
        <v>21</v>
      </c>
      <c r="J3" s="18"/>
      <c r="K3" s="18"/>
      <c r="L3" s="18"/>
      <c r="M3" s="18"/>
      <c r="N3" s="18"/>
      <c r="O3" s="18"/>
    </row>
    <row r="4" spans="1:15" ht="15" customHeight="1" x14ac:dyDescent="0.25">
      <c r="A4" s="10">
        <v>3</v>
      </c>
      <c r="B4" s="10"/>
      <c r="C4" s="11">
        <f>January!AH8+February!AH8+March!AH8+April!AH8+May!AH8+June!AH8+July!AH8+August!AH8+September!AH8+October!AH8+November!AH8+December!AH8</f>
        <v>0</v>
      </c>
      <c r="D4" s="11">
        <f>January!AI8+February!AI8+March!AI8+April!AI8+May!AI8+June!AI8+July!AI8+August!AI8+September!AI8+October!AI8+November!AI8+December!AI8</f>
        <v>0</v>
      </c>
      <c r="E4" s="11">
        <f>January!AJ8+February!AJ8+March!AJ8+April!AJ8+May!AJ8+June!AJ8+July!AJ8+August!AJ8+September!AJ8+October!AJ8+November!AJ8+December!AJ8</f>
        <v>0</v>
      </c>
      <c r="F4" s="11">
        <f>January!AK8+February!AK8+March!AK8+April!AK8+May!AK8+June!AK8+July!AK8+August!AK8+September!AK8+October!AK8+November!AK8+December!AK8</f>
        <v>0</v>
      </c>
      <c r="I4" s="18"/>
      <c r="J4" s="18"/>
      <c r="K4" s="18"/>
      <c r="L4" s="18"/>
      <c r="M4" s="18"/>
      <c r="N4" s="18"/>
      <c r="O4" s="18"/>
    </row>
    <row r="5" spans="1:15" ht="15" customHeight="1" x14ac:dyDescent="0.25">
      <c r="A5" s="10">
        <v>4</v>
      </c>
      <c r="B5" s="10"/>
      <c r="C5" s="11">
        <f>January!AH9+February!AH9+March!AH9+April!AH9+May!AH9+June!AH9+July!AH9+August!AH9+September!AH9+October!AH9+November!AH9+December!AH9</f>
        <v>0</v>
      </c>
      <c r="D5" s="11">
        <f>January!AI9+February!AI9+March!AI9+April!AI9+May!AI9+June!AI9+July!AI9+August!AI9+September!AI9+October!AI9+November!AI9+December!AI9</f>
        <v>0</v>
      </c>
      <c r="E5" s="11">
        <f>January!AJ9+February!AJ9+March!AJ9+April!AJ9+May!AJ9+June!AJ9+July!AJ9+August!AJ9+September!AJ9+October!AJ9+November!AJ9+December!AJ9</f>
        <v>0</v>
      </c>
      <c r="F5" s="11">
        <f>January!AK9+February!AK9+March!AK9+April!AK9+May!AK9+June!AK9+July!AK9+August!AK9+September!AK9+October!AK9+November!AK9+December!AK9</f>
        <v>0</v>
      </c>
      <c r="I5" s="18"/>
      <c r="J5" s="18"/>
      <c r="K5" s="18"/>
      <c r="L5" s="18"/>
      <c r="M5" s="18"/>
      <c r="N5" s="18"/>
      <c r="O5" s="18"/>
    </row>
    <row r="6" spans="1:15" ht="15" customHeight="1" x14ac:dyDescent="0.25">
      <c r="A6" s="10">
        <v>5</v>
      </c>
      <c r="B6" s="10"/>
      <c r="C6" s="11">
        <f>January!AH10+February!AH10+March!AH10+April!AH10+May!AH10+June!AH10+July!AH10+August!AH10+September!AH10+October!AH10+November!AH10+December!AH10</f>
        <v>0</v>
      </c>
      <c r="D6" s="11">
        <f>January!AI10+February!AI10+March!AI10+April!AI10+May!AI10+June!AI10+July!AI10+August!AI10+September!AI10+October!AI10+November!AI10+December!AI10</f>
        <v>0</v>
      </c>
      <c r="E6" s="11">
        <f>January!AJ10+February!AJ10+March!AJ10+April!AJ10+May!AJ10+June!AJ10+July!AJ10+August!AJ10+September!AJ10+October!AJ10+November!AJ10+December!AJ10</f>
        <v>0</v>
      </c>
      <c r="F6" s="11">
        <f>January!AK10+February!AK10+March!AK10+April!AK10+May!AK10+June!AK10+July!AK10+August!AK10+September!AK10+October!AK10+November!AK10+December!AK10</f>
        <v>0</v>
      </c>
      <c r="I6" s="18"/>
      <c r="J6" s="18"/>
      <c r="K6" s="18"/>
      <c r="L6" s="18"/>
      <c r="M6" s="18"/>
      <c r="N6" s="18"/>
      <c r="O6" s="18"/>
    </row>
    <row r="7" spans="1:15" ht="15" customHeight="1" x14ac:dyDescent="0.25">
      <c r="A7" s="10">
        <v>6</v>
      </c>
      <c r="B7" s="10"/>
      <c r="C7" s="11">
        <f>January!AH11+February!AH11+March!AH11+April!AH11+May!AH11+June!AH11+July!AH11+August!AH11+September!AH11+October!AH11+November!AH11+December!AH11</f>
        <v>0</v>
      </c>
      <c r="D7" s="11">
        <f>January!AI11+February!AI11+March!AI11+April!AI11+May!AI11+June!AI11+July!AI11+August!AI11+September!AI11+October!AI11+November!AI11+December!AI11</f>
        <v>0</v>
      </c>
      <c r="E7" s="11">
        <f>January!AJ11+February!AJ11+March!AJ11+April!AJ11+May!AJ11+June!AJ11+July!AJ11+August!AJ11+September!AJ11+October!AJ11+November!AJ11+December!AJ11</f>
        <v>0</v>
      </c>
      <c r="F7" s="11">
        <f>January!AK11+February!AK11+March!AK11+April!AK11+May!AK11+June!AK11+July!AK11+August!AK11+September!AK11+October!AK11+November!AK11+December!AK11</f>
        <v>0</v>
      </c>
      <c r="I7" s="18"/>
      <c r="J7" s="18"/>
      <c r="K7" s="18"/>
      <c r="L7" s="18"/>
      <c r="M7" s="18"/>
      <c r="N7" s="18"/>
      <c r="O7" s="18"/>
    </row>
    <row r="8" spans="1:15" ht="15" customHeight="1" x14ac:dyDescent="0.25">
      <c r="A8" s="10">
        <v>7</v>
      </c>
      <c r="B8" s="10"/>
      <c r="C8" s="11">
        <f>January!AH12+February!AH12+March!AH12+April!AH12+May!AH12+June!AH12+July!AH12+August!AH12+September!AH12+October!AH12+November!AH12+December!AH12</f>
        <v>0</v>
      </c>
      <c r="D8" s="11">
        <f>January!AI12+February!AI12+March!AI12+April!AI12+May!AI12+June!AI12+July!AI12+August!AI12+September!AI12+October!AI12+November!AI12+December!AI12</f>
        <v>0</v>
      </c>
      <c r="E8" s="11">
        <f>January!AJ12+February!AJ12+March!AJ12+April!AJ12+May!AJ12+June!AJ12+July!AJ12+August!AJ12+September!AJ12+October!AJ12+November!AJ12+December!AJ12</f>
        <v>0</v>
      </c>
      <c r="F8" s="11">
        <f>January!AK12+February!AK12+March!AK12+April!AK12+May!AK12+June!AK12+July!AK12+August!AK12+September!AK12+October!AK12+November!AK12+December!AK12</f>
        <v>0</v>
      </c>
      <c r="I8" s="18"/>
      <c r="J8" s="18"/>
      <c r="K8" s="18"/>
      <c r="L8" s="18"/>
      <c r="M8" s="18"/>
      <c r="N8" s="18"/>
      <c r="O8" s="18"/>
    </row>
    <row r="9" spans="1:15" ht="15" customHeight="1" x14ac:dyDescent="0.25">
      <c r="A9" s="10">
        <v>8</v>
      </c>
      <c r="B9" s="10"/>
      <c r="C9" s="11">
        <f>January!AH13+February!AH13+March!AH13+April!AH13+May!AH13+June!AH13+July!AH13+August!AH13+September!AH13+October!AH13+November!AH13+December!AH13</f>
        <v>0</v>
      </c>
      <c r="D9" s="11">
        <f>January!AI13+February!AI13+March!AI13+April!AI13+May!AI13+June!AI13+July!AI13+August!AI13+September!AI13+October!AI13+November!AI13+December!AI13</f>
        <v>0</v>
      </c>
      <c r="E9" s="11">
        <f>January!AJ13+February!AJ13+March!AJ13+April!AJ13+May!AJ13+June!AJ13+July!AJ13+August!AJ13+September!AJ13+October!AJ13+November!AJ13+December!AJ13</f>
        <v>0</v>
      </c>
      <c r="F9" s="11">
        <f>January!AK13+February!AK13+March!AK13+April!AK13+May!AK13+June!AK13+July!AK13+August!AK13+September!AK13+October!AK13+November!AK13+December!AK13</f>
        <v>0</v>
      </c>
      <c r="I9" s="18"/>
      <c r="J9" s="18"/>
      <c r="K9" s="18"/>
      <c r="L9" s="18"/>
      <c r="M9" s="18"/>
      <c r="N9" s="18"/>
      <c r="O9" s="18"/>
    </row>
    <row r="10" spans="1:15" x14ac:dyDescent="0.25">
      <c r="A10" s="10">
        <v>9</v>
      </c>
      <c r="B10" s="10"/>
      <c r="C10" s="11">
        <f>January!AH14+February!AH14+March!AH14+April!AH14+May!AH14+June!AH14+July!AH14+August!AH14+September!AH14+October!AH14+November!AH14+December!AH14</f>
        <v>0</v>
      </c>
      <c r="D10" s="11">
        <f>January!AI14+February!AI14+March!AI14+April!AI14+May!AI14+June!AI14+July!AI14+August!AI14+September!AI14+October!AI14+November!AI14+December!AI14</f>
        <v>0</v>
      </c>
      <c r="E10" s="11">
        <f>January!AJ14+February!AJ14+March!AJ14+April!AJ14+May!AJ14+June!AJ14+July!AJ14+August!AJ14+September!AJ14+October!AJ14+November!AJ14+December!AJ14</f>
        <v>0</v>
      </c>
      <c r="F10" s="11">
        <f>January!AK14+February!AK14+March!AK14+April!AK14+May!AK14+June!AK14+July!AK14+August!AK14+September!AK14+October!AK14+November!AK14+December!AK14</f>
        <v>0</v>
      </c>
    </row>
    <row r="11" spans="1:15" x14ac:dyDescent="0.25">
      <c r="A11" s="10">
        <v>10</v>
      </c>
      <c r="B11" s="10"/>
      <c r="C11" s="11">
        <f>January!AH15+February!AH15+March!AH15+April!AH15+May!AH15+June!AH15+July!AH15+August!AH15+September!AH15+October!AH15+November!AH15+December!AH15</f>
        <v>0</v>
      </c>
      <c r="D11" s="11">
        <f>January!AI15+February!AI15+March!AI15+April!AI15+May!AI15+June!AI15+July!AI15+August!AI15+September!AI15+October!AI15+November!AI15+December!AI15</f>
        <v>0</v>
      </c>
      <c r="E11" s="11">
        <f>January!AJ15+February!AJ15+March!AJ15+April!AJ15+May!AJ15+June!AJ15+July!AJ15+August!AJ15+September!AJ15+October!AJ15+November!AJ15+December!AJ15</f>
        <v>0</v>
      </c>
      <c r="F11" s="11">
        <f>January!AK15+February!AK15+March!AK15+April!AK15+May!AK15+June!AK15+July!AK15+August!AK15+September!AK15+October!AK15+November!AK15+December!AK15</f>
        <v>0</v>
      </c>
    </row>
    <row r="12" spans="1:15" x14ac:dyDescent="0.25">
      <c r="A12" s="10">
        <v>11</v>
      </c>
      <c r="B12" s="10"/>
      <c r="C12" s="11">
        <f>January!AH16+February!AH16+March!AH16+April!AH16+May!AH16+June!AH16+July!AH16+August!AH16+September!AH16+October!AH16+November!AH16+December!AH16</f>
        <v>0</v>
      </c>
      <c r="D12" s="11">
        <f>January!AI16+February!AI16+March!AI16+April!AI16+May!AI16+June!AI16+July!AI16+August!AI16+September!AI16+October!AI16+November!AI16+December!AI16</f>
        <v>0</v>
      </c>
      <c r="E12" s="11">
        <f>January!AJ16+February!AJ16+March!AJ16+April!AJ16+May!AJ16+June!AJ16+July!AJ16+August!AJ16+September!AJ16+October!AJ16+November!AJ16+December!AJ16</f>
        <v>0</v>
      </c>
      <c r="F12" s="11">
        <f>January!AK16+February!AK16+March!AK16+April!AK16+May!AK16+June!AK16+July!AK16+August!AK16+September!AK16+October!AK16+November!AK16+December!AK16</f>
        <v>0</v>
      </c>
    </row>
    <row r="13" spans="1:15" x14ac:dyDescent="0.25">
      <c r="A13" s="10">
        <v>12</v>
      </c>
      <c r="B13" s="10"/>
      <c r="C13" s="11">
        <f>January!AH17+February!AH17+March!AH17+April!AH17+May!AH17+June!AH17+July!AH17+August!AH17+September!AH17+October!AH17+November!AH17+December!AH17</f>
        <v>0</v>
      </c>
      <c r="D13" s="11">
        <f>January!AI17+February!AI17+March!AI17+April!AI17+May!AI17+June!AI17+July!AI17+August!AI17+September!AI17+October!AI17+November!AI17+December!AI17</f>
        <v>0</v>
      </c>
      <c r="E13" s="11">
        <f>January!AJ17+February!AJ17+March!AJ17+April!AJ17+May!AJ17+June!AJ17+July!AJ17+August!AJ17+September!AJ17+October!AJ17+November!AJ17+December!AJ17</f>
        <v>0</v>
      </c>
      <c r="F13" s="11">
        <f>January!AK17+February!AK17+March!AK17+April!AK17+May!AK17+June!AK17+July!AK17+August!AK17+September!AK17+October!AK17+November!AK17+December!AK17</f>
        <v>0</v>
      </c>
    </row>
    <row r="14" spans="1:15" x14ac:dyDescent="0.25">
      <c r="A14" s="10">
        <v>13</v>
      </c>
      <c r="B14" s="10"/>
      <c r="C14" s="11">
        <f>January!AH18+February!AH18+March!AH18+April!AH18+May!AH18+June!AH18+July!AH18+August!AH18+September!AH18+October!AH18+November!AH18+December!AH18</f>
        <v>0</v>
      </c>
      <c r="D14" s="11">
        <f>January!AI18+February!AI18+March!AI18+April!AI18+May!AI18+June!AI18+July!AI18+August!AI18+September!AI18+October!AI18+November!AI18+December!AI18</f>
        <v>0</v>
      </c>
      <c r="E14" s="11">
        <f>January!AJ18+February!AJ18+March!AJ18+April!AJ18+May!AJ18+June!AJ18+July!AJ18+August!AJ18+September!AJ18+October!AJ18+November!AJ18+December!AJ18</f>
        <v>0</v>
      </c>
      <c r="F14" s="11">
        <f>January!AK18+February!AK18+March!AK18+April!AK18+May!AK18+June!AK18+July!AK18+August!AK18+September!AK18+October!AK18+November!AK18+December!AK18</f>
        <v>0</v>
      </c>
    </row>
    <row r="15" spans="1:15" x14ac:dyDescent="0.25">
      <c r="A15" s="10">
        <v>14</v>
      </c>
      <c r="B15" s="10"/>
      <c r="C15" s="11">
        <f>January!AH19+February!AH19+March!AH19+April!AH19+May!AH19+June!AH19+July!AH19+August!AH19+September!AH19+October!AH19+November!AH19+December!AH19</f>
        <v>0</v>
      </c>
      <c r="D15" s="11">
        <f>January!AI19+February!AI19+March!AI19+April!AI19+May!AI19+June!AI19+July!AI19+August!AI19+September!AI19+October!AI19+November!AI19+December!AI19</f>
        <v>0</v>
      </c>
      <c r="E15" s="11">
        <f>January!AJ19+February!AJ19+March!AJ19+April!AJ19+May!AJ19+June!AJ19+July!AJ19+August!AJ19+September!AJ19+October!AJ19+November!AJ19+December!AJ19</f>
        <v>0</v>
      </c>
      <c r="F15" s="11">
        <f>January!AK19+February!AK19+March!AK19+April!AK19+May!AK19+June!AK19+July!AK19+August!AK19+September!AK19+October!AK19+November!AK19+December!AK19</f>
        <v>0</v>
      </c>
    </row>
    <row r="16" spans="1:15" x14ac:dyDescent="0.25">
      <c r="A16" s="10">
        <v>15</v>
      </c>
      <c r="B16" s="10"/>
      <c r="C16" s="11">
        <f>January!AH20+February!AH20+March!AH20+April!AH20+May!AH20+June!AH20+July!AH20+August!AH20+September!AH20+October!AH20+November!AH20+December!AH20</f>
        <v>0</v>
      </c>
      <c r="D16" s="11">
        <f>January!AI20+February!AI20+March!AI20+April!AI20+May!AI20+June!AI20+July!AI20+August!AI20+September!AI20+October!AI20+November!AI20+December!AI20</f>
        <v>0</v>
      </c>
      <c r="E16" s="11">
        <f>January!AJ20+February!AJ20+March!AJ20+April!AJ20+May!AJ20+June!AJ20+July!AJ20+August!AJ20+September!AJ20+October!AJ20+November!AJ20+December!AJ20</f>
        <v>0</v>
      </c>
      <c r="F16" s="11">
        <f>January!AK20+February!AK20+March!AK20+April!AK20+May!AK20+June!AK20+July!AK20+August!AK20+September!AK20+October!AK20+November!AK20+December!AK20</f>
        <v>0</v>
      </c>
    </row>
    <row r="17" spans="1:6" x14ac:dyDescent="0.25">
      <c r="A17" s="10">
        <v>16</v>
      </c>
      <c r="B17" s="10"/>
      <c r="C17" s="11">
        <f>January!AH21+February!AH21+March!AH21+April!AH21+May!AH21+June!AH21+July!AH21+August!AH21+September!AH21+October!AH21+November!AH21+December!AH21</f>
        <v>0</v>
      </c>
      <c r="D17" s="11">
        <f>January!AI21+February!AI21+March!AI21+April!AI21+May!AI21+June!AI21+July!AI21+August!AI21+September!AI21+October!AI21+November!AI21+December!AI21</f>
        <v>0</v>
      </c>
      <c r="E17" s="11">
        <f>January!AJ21+February!AJ21+March!AJ21+April!AJ21+May!AJ21+June!AJ21+July!AJ21+August!AJ21+September!AJ21+October!AJ21+November!AJ21+December!AJ21</f>
        <v>0</v>
      </c>
      <c r="F17" s="11">
        <f>January!AK21+February!AK21+March!AK21+April!AK21+May!AK21+June!AK21+July!AK21+August!AK21+September!AK21+October!AK21+November!AK21+December!AK21</f>
        <v>0</v>
      </c>
    </row>
    <row r="18" spans="1:6" x14ac:dyDescent="0.25">
      <c r="A18" s="10">
        <v>17</v>
      </c>
      <c r="B18" s="10"/>
      <c r="C18" s="11">
        <f>January!AH22+February!AH22+March!AH22+April!AH22+May!AH22+June!AH22+July!AH22+August!AH22+September!AH22+October!AH22+November!AH22+December!AH22</f>
        <v>0</v>
      </c>
      <c r="D18" s="11">
        <f>January!AI22+February!AI22+March!AI22+April!AI22+May!AI22+June!AI22+July!AI22+August!AI22+September!AI22+October!AI22+November!AI22+December!AI22</f>
        <v>0</v>
      </c>
      <c r="E18" s="11">
        <f>January!AJ22+February!AJ22+March!AJ22+April!AJ22+May!AJ22+June!AJ22+July!AJ22+August!AJ22+September!AJ22+October!AJ22+November!AJ22+December!AJ22</f>
        <v>0</v>
      </c>
      <c r="F18" s="11">
        <f>January!AK22+February!AK22+March!AK22+April!AK22+May!AK22+June!AK22+July!AK22+August!AK22+September!AK22+October!AK22+November!AK22+December!AK22</f>
        <v>0</v>
      </c>
    </row>
    <row r="19" spans="1:6" x14ac:dyDescent="0.25">
      <c r="A19" s="10">
        <v>18</v>
      </c>
      <c r="B19" s="10"/>
      <c r="C19" s="11">
        <f>January!AH23+February!AH23+March!AH23+April!AH23+May!AH23+June!AH23+July!AH23+August!AH23+September!AH23+October!AH23+November!AH23+December!AH23</f>
        <v>0</v>
      </c>
      <c r="D19" s="11">
        <f>January!AI23+February!AI23+March!AI23+April!AI23+May!AI23+June!AI23+July!AI23+August!AI23+September!AI23+October!AI23+November!AI23+December!AI23</f>
        <v>0</v>
      </c>
      <c r="E19" s="11">
        <f>January!AJ23+February!AJ23+March!AJ23+April!AJ23+May!AJ23+June!AJ23+July!AJ23+August!AJ23+September!AJ23+October!AJ23+November!AJ23+December!AJ23</f>
        <v>0</v>
      </c>
      <c r="F19" s="11">
        <f>January!AK23+February!AK23+March!AK23+April!AK23+May!AK23+June!AK23+July!AK23+August!AK23+September!AK23+October!AK23+November!AK23+December!AK23</f>
        <v>0</v>
      </c>
    </row>
    <row r="20" spans="1:6" x14ac:dyDescent="0.25">
      <c r="A20" s="10">
        <v>19</v>
      </c>
      <c r="B20" s="10"/>
      <c r="C20" s="11">
        <f>January!AH24+February!AH24+March!AH24+April!AH24+May!AH24+June!AH24+July!AH24+August!AH24+September!AH24+October!AH24+November!AH24+December!AH24</f>
        <v>0</v>
      </c>
      <c r="D20" s="11">
        <f>January!AI24+February!AI24+March!AI24+April!AI24+May!AI24+June!AI24+July!AI24+August!AI24+September!AI24+October!AI24+November!AI24+December!AI24</f>
        <v>0</v>
      </c>
      <c r="E20" s="11">
        <f>January!AJ24+February!AJ24+March!AJ24+April!AJ24+May!AJ24+June!AJ24+July!AJ24+August!AJ24+September!AJ24+October!AJ24+November!AJ24+December!AJ24</f>
        <v>0</v>
      </c>
      <c r="F20" s="11">
        <f>January!AK24+February!AK24+March!AK24+April!AK24+May!AK24+June!AK24+July!AK24+August!AK24+September!AK24+October!AK24+November!AK24+December!AK24</f>
        <v>0</v>
      </c>
    </row>
    <row r="21" spans="1:6" x14ac:dyDescent="0.25">
      <c r="A21" s="10">
        <v>20</v>
      </c>
      <c r="B21" s="10"/>
      <c r="C21" s="11">
        <f>January!AH25+February!AH25+March!AH25+April!AH25+May!AH25+June!AH25+July!AH25+August!AH25+September!AH25+October!AH25+November!AH25+December!AH25</f>
        <v>0</v>
      </c>
      <c r="D21" s="11">
        <f>January!AI25+February!AI25+March!AI25+April!AI25+May!AI25+June!AI25+July!AI25+August!AI25+September!AI25+October!AI25+November!AI25+December!AI25</f>
        <v>0</v>
      </c>
      <c r="E21" s="11">
        <f>January!AJ25+February!AJ25+March!AJ25+April!AJ25+May!AJ25+June!AJ25+July!AJ25+August!AJ25+September!AJ25+October!AJ25+November!AJ25+December!AJ25</f>
        <v>0</v>
      </c>
      <c r="F21" s="11">
        <f>January!AK25+February!AK25+March!AK25+April!AK25+May!AK25+June!AK25+July!AK25+August!AK25+September!AK25+October!AK25+November!AK25+December!AK25</f>
        <v>0</v>
      </c>
    </row>
    <row r="22" spans="1:6" x14ac:dyDescent="0.25">
      <c r="A22" s="10">
        <v>21</v>
      </c>
      <c r="B22" s="10"/>
      <c r="C22" s="11">
        <f>January!AH26+February!AH26+March!AH26+April!AH26+May!AH26+June!AH26+July!AH26+August!AH26+September!AH26+October!AH26+November!AH26+December!AH26</f>
        <v>0</v>
      </c>
      <c r="D22" s="11">
        <f>January!AI26+February!AI26+March!AI26+April!AI26+May!AI26+June!AI26+July!AI26+August!AI26+September!AI26+October!AI26+November!AI26+December!AI26</f>
        <v>0</v>
      </c>
      <c r="E22" s="11">
        <f>January!AJ26+February!AJ26+March!AJ26+April!AJ26+May!AJ26+June!AJ26+July!AJ26+August!AJ26+September!AJ26+October!AJ26+November!AJ26+December!AJ26</f>
        <v>0</v>
      </c>
      <c r="F22" s="11">
        <f>January!AK26+February!AK26+March!AK26+April!AK26+May!AK26+June!AK26+July!AK26+August!AK26+September!AK26+October!AK26+November!AK26+December!AK26</f>
        <v>0</v>
      </c>
    </row>
    <row r="23" spans="1:6" x14ac:dyDescent="0.25">
      <c r="A23" s="10">
        <v>22</v>
      </c>
      <c r="B23" s="10"/>
      <c r="C23" s="11">
        <f>January!AH27+February!AH27+March!AH27+April!AH27+May!AH27+June!AH27+July!AH27+August!AH27+September!AH27+October!AH27+November!AH27+December!AH27</f>
        <v>0</v>
      </c>
      <c r="D23" s="11">
        <f>January!AI27+February!AI27+March!AI27+April!AI27+May!AI27+June!AI27+July!AI27+August!AI27+September!AI27+October!AI27+November!AI27+December!AI27</f>
        <v>0</v>
      </c>
      <c r="E23" s="11">
        <f>January!AJ27+February!AJ27+March!AJ27+April!AJ27+May!AJ27+June!AJ27+July!AJ27+August!AJ27+September!AJ27+October!AJ27+November!AJ27+December!AJ27</f>
        <v>0</v>
      </c>
      <c r="F23" s="11">
        <f>January!AK27+February!AK27+March!AK27+April!AK27+May!AK27+June!AK27+July!AK27+August!AK27+September!AK27+October!AK27+November!AK27+December!AK27</f>
        <v>0</v>
      </c>
    </row>
    <row r="24" spans="1:6" x14ac:dyDescent="0.25">
      <c r="A24" s="10">
        <v>23</v>
      </c>
      <c r="B24" s="10"/>
      <c r="C24" s="11">
        <f>January!AH28+February!AH28+March!AH28+April!AH28+May!AH28+June!AH28+July!AH28+August!AH28+September!AH28+October!AH28+November!AH28+December!AH28</f>
        <v>0</v>
      </c>
      <c r="D24" s="11">
        <f>January!AI28+February!AI28+March!AI28+April!AI28+May!AI28+June!AI28+July!AI28+August!AI28+September!AI28+October!AI28+November!AI28+December!AI28</f>
        <v>0</v>
      </c>
      <c r="E24" s="11">
        <f>January!AJ28+February!AJ28+March!AJ28+April!AJ28+May!AJ28+June!AJ28+July!AJ28+August!AJ28+September!AJ28+October!AJ28+November!AJ28+December!AJ28</f>
        <v>0</v>
      </c>
      <c r="F24" s="11">
        <f>January!AK28+February!AK28+March!AK28+April!AK28+May!AK28+June!AK28+July!AK28+August!AK28+September!AK28+October!AK28+November!AK28+December!AK28</f>
        <v>0</v>
      </c>
    </row>
    <row r="25" spans="1:6" x14ac:dyDescent="0.25">
      <c r="A25" s="10">
        <v>24</v>
      </c>
      <c r="B25" s="10"/>
      <c r="C25" s="11">
        <f>January!AH29+February!AH29+March!AH29+April!AH29+May!AH29+June!AH29+July!AH29+August!AH29+September!AH29+October!AH29+November!AH29+December!AH29</f>
        <v>0</v>
      </c>
      <c r="D25" s="11">
        <f>January!AI29+February!AI29+March!AI29+April!AI29+May!AI29+June!AI29+July!AI29+August!AI29+September!AI29+October!AI29+November!AI29+December!AI29</f>
        <v>0</v>
      </c>
      <c r="E25" s="11">
        <f>January!AJ29+February!AJ29+March!AJ29+April!AJ29+May!AJ29+June!AJ29+July!AJ29+August!AJ29+September!AJ29+October!AJ29+November!AJ29+December!AJ29</f>
        <v>0</v>
      </c>
      <c r="F25" s="11">
        <f>January!AK29+February!AK29+March!AK29+April!AK29+May!AK29+June!AK29+July!AK29+August!AK29+September!AK29+October!AK29+November!AK29+December!AK29</f>
        <v>0</v>
      </c>
    </row>
    <row r="26" spans="1:6" x14ac:dyDescent="0.25">
      <c r="A26" s="10">
        <v>25</v>
      </c>
      <c r="B26" s="10"/>
      <c r="C26" s="11">
        <f>January!AH30+February!AH30+March!AH30+April!AH30+May!AH30+June!AH30+July!AH30+August!AH30+September!AH30+October!AH30+November!AH30+December!AH30</f>
        <v>0</v>
      </c>
      <c r="D26" s="11">
        <f>January!AI30+February!AI30+March!AI30+April!AI30+May!AI30+June!AI30+July!AI30+August!AI30+September!AI30+October!AI30+November!AI30+December!AI30</f>
        <v>0</v>
      </c>
      <c r="E26" s="11">
        <f>January!AJ30+February!AJ30+March!AJ30+April!AJ30+May!AJ30+June!AJ30+July!AJ30+August!AJ30+September!AJ30+October!AJ30+November!AJ30+December!AJ30</f>
        <v>0</v>
      </c>
      <c r="F26" s="11">
        <f>January!AK30+February!AK30+March!AK30+April!AK30+May!AK30+June!AK30+July!AK30+August!AK30+September!AK30+October!AK30+November!AK30+December!AK30</f>
        <v>0</v>
      </c>
    </row>
    <row r="27" spans="1:6" x14ac:dyDescent="0.25">
      <c r="A27" s="10">
        <v>26</v>
      </c>
      <c r="B27" s="10"/>
      <c r="C27" s="11">
        <f>January!AH31+February!AH31+March!AH31+April!AH31+May!AH31+June!AH31+July!AH31+August!AH31+September!AH31+October!AH31+November!AH31+December!AH31</f>
        <v>0</v>
      </c>
      <c r="D27" s="11">
        <f>January!AI31+February!AI31+March!AI31+April!AI31+May!AI31+June!AI31+July!AI31+August!AI31+September!AI31+October!AI31+November!AI31+December!AI31</f>
        <v>0</v>
      </c>
      <c r="E27" s="11">
        <f>January!AJ31+February!AJ31+March!AJ31+April!AJ31+May!AJ31+June!AJ31+July!AJ31+August!AJ31+September!AJ31+October!AJ31+November!AJ31+December!AJ31</f>
        <v>0</v>
      </c>
      <c r="F27" s="11">
        <f>January!AK31+February!AK31+March!AK31+April!AK31+May!AK31+June!AK31+July!AK31+August!AK31+September!AK31+October!AK31+November!AK31+December!AK31</f>
        <v>0</v>
      </c>
    </row>
    <row r="28" spans="1:6" x14ac:dyDescent="0.25">
      <c r="A28" s="10">
        <v>27</v>
      </c>
      <c r="B28" s="10"/>
      <c r="C28" s="11">
        <f>January!AH32+February!AH32+March!AH32+April!AH32+May!AH32+June!AH32+July!AH32+August!AH32+September!AH32+October!AH32+November!AH32+December!AH32</f>
        <v>0</v>
      </c>
      <c r="D28" s="11">
        <f>January!AI32+February!AI32+March!AI32+April!AI32+May!AI32+June!AI32+July!AI32+August!AI32+September!AI32+October!AI32+November!AI32+December!AI32</f>
        <v>0</v>
      </c>
      <c r="E28" s="11">
        <f>January!AJ32+February!AJ32+March!AJ32+April!AJ32+May!AJ32+June!AJ32+July!AJ32+August!AJ32+September!AJ32+October!AJ32+November!AJ32+December!AJ32</f>
        <v>0</v>
      </c>
      <c r="F28" s="11">
        <f>January!AK32+February!AK32+March!AK32+April!AK32+May!AK32+June!AK32+July!AK32+August!AK32+September!AK32+October!AK32+November!AK32+December!AK32</f>
        <v>0</v>
      </c>
    </row>
    <row r="29" spans="1:6" x14ac:dyDescent="0.25">
      <c r="A29" s="10">
        <v>28</v>
      </c>
      <c r="B29" s="10"/>
      <c r="C29" s="11">
        <f>January!AH33+February!AH33+March!AH33+April!AH33+May!AH33+June!AH33+July!AH33+August!AH33+September!AH33+October!AH33+November!AH33+December!AH33</f>
        <v>0</v>
      </c>
      <c r="D29" s="11">
        <f>January!AI33+February!AI33+March!AI33+April!AI33+May!AI33+June!AI33+July!AI33+August!AI33+September!AI33+October!AI33+November!AI33+December!AI33</f>
        <v>0</v>
      </c>
      <c r="E29" s="11">
        <f>January!AJ33+February!AJ33+March!AJ33+April!AJ33+May!AJ33+June!AJ33+July!AJ33+August!AJ33+September!AJ33+October!AJ33+November!AJ33+December!AJ33</f>
        <v>0</v>
      </c>
      <c r="F29" s="11">
        <f>January!AK33+February!AK33+March!AK33+April!AK33+May!AK33+June!AK33+July!AK33+August!AK33+September!AK33+October!AK33+November!AK33+December!AK33</f>
        <v>0</v>
      </c>
    </row>
    <row r="30" spans="1:6" x14ac:dyDescent="0.25">
      <c r="A30" s="10">
        <v>29</v>
      </c>
      <c r="B30" s="10"/>
      <c r="C30" s="11">
        <f>January!AH34+February!AH34+March!AH34+April!AH34+May!AH34+June!AH34+July!AH34+August!AH34+September!AH34+October!AH34+November!AH34+December!AH34</f>
        <v>0</v>
      </c>
      <c r="D30" s="11">
        <f>January!AI34+February!AI34+March!AI34+April!AI34+May!AI34+June!AI34+July!AI34+August!AI34+September!AI34+October!AI34+November!AI34+December!AI34</f>
        <v>0</v>
      </c>
      <c r="E30" s="11">
        <f>January!AJ34+February!AJ34+March!AJ34+April!AJ34+May!AJ34+June!AJ34+July!AJ34+August!AJ34+September!AJ34+October!AJ34+November!AJ34+December!AJ34</f>
        <v>0</v>
      </c>
      <c r="F30" s="11">
        <f>January!AK34+February!AK34+March!AK34+April!AK34+May!AK34+June!AK34+July!AK34+August!AK34+September!AK34+October!AK34+November!AK34+December!AK34</f>
        <v>0</v>
      </c>
    </row>
    <row r="31" spans="1:6" x14ac:dyDescent="0.25">
      <c r="A31" s="10">
        <v>30</v>
      </c>
      <c r="B31" s="10"/>
      <c r="C31" s="11">
        <f>January!AH35+February!AH35+March!AH35+April!AH35+May!AH35+June!AH35+July!AH35+August!AH35+September!AH35+October!AH35+November!AH35+December!AH35</f>
        <v>0</v>
      </c>
      <c r="D31" s="11">
        <f>January!AI35+February!AI35+March!AI35+April!AI35+May!AI35+June!AI35+July!AI35+August!AI35+September!AI35+October!AI35+November!AI35+December!AI35</f>
        <v>0</v>
      </c>
      <c r="E31" s="11">
        <f>January!AJ35+February!AJ35+March!AJ35+April!AJ35+May!AJ35+June!AJ35+July!AJ35+August!AJ35+September!AJ35+October!AJ35+November!AJ35+December!AJ35</f>
        <v>0</v>
      </c>
      <c r="F31" s="11">
        <f>January!AK35+February!AK35+March!AK35+April!AK35+May!AK35+June!AK35+July!AK35+August!AK35+September!AK35+October!AK35+November!AK35+December!AK35</f>
        <v>0</v>
      </c>
    </row>
    <row r="32" spans="1:6" x14ac:dyDescent="0.25">
      <c r="A32" s="10">
        <v>31</v>
      </c>
      <c r="B32" s="10"/>
      <c r="C32" s="11">
        <f>January!AH36+February!AH36+March!AH36+April!AH36+May!AH36+June!AH36+July!AH36+August!AH36+September!AH36+October!AH36+November!AH36+December!AH36</f>
        <v>0</v>
      </c>
      <c r="D32" s="11">
        <f>January!AI36+February!AI36+March!AI36+April!AI36+May!AI36+June!AI36+July!AI36+August!AI36+September!AI36+October!AI36+November!AI36+December!AI36</f>
        <v>0</v>
      </c>
      <c r="E32" s="11">
        <f>January!AJ36+February!AJ36+March!AJ36+April!AJ36+May!AJ36+June!AJ36+July!AJ36+August!AJ36+September!AJ36+October!AJ36+November!AJ36+December!AJ36</f>
        <v>0</v>
      </c>
      <c r="F32" s="11">
        <f>January!AK36+February!AK36+March!AK36+April!AK36+May!AK36+June!AK36+July!AK36+August!AK36+September!AK36+October!AK36+November!AK36+December!AK36</f>
        <v>0</v>
      </c>
    </row>
    <row r="33" spans="1:6" x14ac:dyDescent="0.25">
      <c r="A33" s="10">
        <v>32</v>
      </c>
      <c r="B33" s="10"/>
      <c r="C33" s="11">
        <f>January!AH37+February!AH37+March!AH37+April!AH37+May!AH37+June!AH37+July!AH37+August!AH37+September!AH37+October!AH37+November!AH37+December!AH37</f>
        <v>0</v>
      </c>
      <c r="D33" s="11">
        <f>January!AI37+February!AI37+March!AI37+April!AI37+May!AI37+June!AI37+July!AI37+August!AI37+September!AI37+October!AI37+November!AI37+December!AI37</f>
        <v>0</v>
      </c>
      <c r="E33" s="11">
        <f>January!AJ37+February!AJ37+March!AJ37+April!AJ37+May!AJ37+June!AJ37+July!AJ37+August!AJ37+September!AJ37+October!AJ37+November!AJ37+December!AJ37</f>
        <v>0</v>
      </c>
      <c r="F33" s="11">
        <f>January!AK37+February!AK37+March!AK37+April!AK37+May!AK37+June!AK37+July!AK37+August!AK37+September!AK37+October!AK37+November!AK37+December!AK37</f>
        <v>0</v>
      </c>
    </row>
    <row r="34" spans="1:6" x14ac:dyDescent="0.25">
      <c r="A34" s="10">
        <v>33</v>
      </c>
      <c r="B34" s="10"/>
      <c r="C34" s="11">
        <f>January!AH38+February!AH38+March!AH38+April!AH38+May!AH38+June!AH38+July!AH38+August!AH38+September!AH38+October!AH38+November!AH38+December!AH38</f>
        <v>0</v>
      </c>
      <c r="D34" s="11">
        <f>January!AI38+February!AI38+March!AI38+April!AI38+May!AI38+June!AI38+July!AI38+August!AI38+September!AI38+October!AI38+November!AI38+December!AI38</f>
        <v>0</v>
      </c>
      <c r="E34" s="11">
        <f>January!AJ38+February!AJ38+March!AJ38+April!AJ38+May!AJ38+June!AJ38+July!AJ38+August!AJ38+September!AJ38+October!AJ38+November!AJ38+December!AJ38</f>
        <v>0</v>
      </c>
      <c r="F34" s="11">
        <f>January!AK38+February!AK38+March!AK38+April!AK38+May!AK38+June!AK38+July!AK38+August!AK38+September!AK38+October!AK38+November!AK38+December!AK38</f>
        <v>0</v>
      </c>
    </row>
    <row r="35" spans="1:6" x14ac:dyDescent="0.25">
      <c r="A35" s="10">
        <v>34</v>
      </c>
      <c r="B35" s="10"/>
      <c r="C35" s="11">
        <f>January!AH39+February!AH39+March!AH39+April!AH39+May!AH39+June!AH39+July!AH39+August!AH39+September!AH39+October!AH39+November!AH39+December!AH39</f>
        <v>0</v>
      </c>
      <c r="D35" s="11">
        <f>January!AI39+February!AI39+March!AI39+April!AI39+May!AI39+June!AI39+July!AI39+August!AI39+September!AI39+October!AI39+November!AI39+December!AI39</f>
        <v>0</v>
      </c>
      <c r="E35" s="11">
        <f>January!AJ39+February!AJ39+March!AJ39+April!AJ39+May!AJ39+June!AJ39+July!AJ39+August!AJ39+September!AJ39+October!AJ39+November!AJ39+December!AJ39</f>
        <v>0</v>
      </c>
      <c r="F35" s="11">
        <f>January!AK39+February!AK39+March!AK39+April!AK39+May!AK39+June!AK39+July!AK39+August!AK39+September!AK39+October!AK39+November!AK39+December!AK39</f>
        <v>0</v>
      </c>
    </row>
    <row r="36" spans="1:6" x14ac:dyDescent="0.25">
      <c r="A36" s="10">
        <v>35</v>
      </c>
      <c r="B36" s="10"/>
      <c r="C36" s="11">
        <f>January!AH40+February!AH40+March!AH40+April!AH40+May!AH40+June!AH40+July!AH40+August!AH40+September!AH40+October!AH40+November!AH40+December!AH40</f>
        <v>0</v>
      </c>
      <c r="D36" s="11">
        <f>January!AI40+February!AI40+March!AI40+April!AI40+May!AI40+June!AI40+July!AI40+August!AI40+September!AI40+October!AI40+November!AI40+December!AI40</f>
        <v>0</v>
      </c>
      <c r="E36" s="11">
        <f>January!AJ40+February!AJ40+March!AJ40+April!AJ40+May!AJ40+June!AJ40+July!AJ40+August!AJ40+September!AJ40+October!AJ40+November!AJ40+December!AJ40</f>
        <v>0</v>
      </c>
      <c r="F36" s="11">
        <f>January!AK40+February!AK40+March!AK40+April!AK40+May!AK40+June!AK40+July!AK40+August!AK40+September!AK40+October!AK40+November!AK40+December!AK40</f>
        <v>0</v>
      </c>
    </row>
    <row r="37" spans="1:6" x14ac:dyDescent="0.25">
      <c r="A37" s="10">
        <v>36</v>
      </c>
      <c r="B37" s="10"/>
      <c r="C37" s="11">
        <f>January!AH41+February!AH41+March!AH41+April!AH41+May!AH41+June!AH41+July!AH41+August!AH41+September!AH41+October!AH41+November!AH41+December!AH41</f>
        <v>0</v>
      </c>
      <c r="D37" s="11">
        <f>January!AI41+February!AI41+March!AI41+April!AI41+May!AI41+June!AI41+July!AI41+August!AI41+September!AI41+October!AI41+November!AI41+December!AI41</f>
        <v>0</v>
      </c>
      <c r="E37" s="11">
        <f>January!AJ41+February!AJ41+March!AJ41+April!AJ41+May!AJ41+June!AJ41+July!AJ41+August!AJ41+September!AJ41+October!AJ41+November!AJ41+December!AJ41</f>
        <v>0</v>
      </c>
      <c r="F37" s="11">
        <f>January!AK41+February!AK41+March!AK41+April!AK41+May!AK41+June!AK41+July!AK41+August!AK41+September!AK41+October!AK41+November!AK41+December!AK41</f>
        <v>0</v>
      </c>
    </row>
    <row r="38" spans="1:6" x14ac:dyDescent="0.25">
      <c r="A38" s="10">
        <v>37</v>
      </c>
      <c r="B38" s="10"/>
      <c r="C38" s="11">
        <f>January!AH42+February!AH42+March!AH42+April!AH42+May!AH42+June!AH42+July!AH42+August!AH42+September!AH42+October!AH42+November!AH42+December!AH42</f>
        <v>0</v>
      </c>
      <c r="D38" s="11">
        <f>January!AI42+February!AI42+March!AI42+April!AI42+May!AI42+June!AI42+July!AI42+August!AI42+September!AI42+October!AI42+November!AI42+December!AI42</f>
        <v>0</v>
      </c>
      <c r="E38" s="11">
        <f>January!AJ42+February!AJ42+March!AJ42+April!AJ42+May!AJ42+June!AJ42+July!AJ42+August!AJ42+September!AJ42+October!AJ42+November!AJ42+December!AJ42</f>
        <v>0</v>
      </c>
      <c r="F38" s="11">
        <f>January!AK42+February!AK42+March!AK42+April!AK42+May!AK42+June!AK42+July!AK42+August!AK42+September!AK42+October!AK42+November!AK42+December!AK42</f>
        <v>0</v>
      </c>
    </row>
    <row r="39" spans="1:6" x14ac:dyDescent="0.25">
      <c r="A39" s="10">
        <v>38</v>
      </c>
      <c r="B39" s="10"/>
      <c r="C39" s="11">
        <f>January!AH43+February!AH43+March!AH43+April!AH43+May!AH43+June!AH43+July!AH43+August!AH43+September!AH43+October!AH43+November!AH43+December!AH43</f>
        <v>0</v>
      </c>
      <c r="D39" s="11">
        <f>January!AI43+February!AI43+March!AI43+April!AI43+May!AI43+June!AI43+July!AI43+August!AI43+September!AI43+October!AI43+November!AI43+December!AI43</f>
        <v>0</v>
      </c>
      <c r="E39" s="11">
        <f>January!AJ43+February!AJ43+March!AJ43+April!AJ43+May!AJ43+June!AJ43+July!AJ43+August!AJ43+September!AJ43+October!AJ43+November!AJ43+December!AJ43</f>
        <v>0</v>
      </c>
      <c r="F39" s="11">
        <f>January!AK43+February!AK43+March!AK43+April!AK43+May!AK43+June!AK43+July!AK43+August!AK43+September!AK43+October!AK43+November!AK43+December!AK43</f>
        <v>0</v>
      </c>
    </row>
    <row r="40" spans="1:6" x14ac:dyDescent="0.25">
      <c r="A40" s="10">
        <v>39</v>
      </c>
      <c r="B40" s="10"/>
      <c r="C40" s="11">
        <f>January!AH44+February!AH44+March!AH44+April!AH44+May!AH44+June!AH44+July!AH44+August!AH44+September!AH44+October!AH44+November!AH44+December!AH44</f>
        <v>0</v>
      </c>
      <c r="D40" s="11">
        <f>January!AI44+February!AI44+March!AI44+April!AI44+May!AI44+June!AI44+July!AI44+August!AI44+September!AI44+October!AI44+November!AI44+December!AI44</f>
        <v>0</v>
      </c>
      <c r="E40" s="11">
        <f>January!AJ44+February!AJ44+March!AJ44+April!AJ44+May!AJ44+June!AJ44+July!AJ44+August!AJ44+September!AJ44+October!AJ44+November!AJ44+December!AJ44</f>
        <v>0</v>
      </c>
      <c r="F40" s="11">
        <f>January!AK44+February!AK44+March!AK44+April!AK44+May!AK44+June!AK44+July!AK44+August!AK44+September!AK44+October!AK44+November!AK44+December!AK44</f>
        <v>0</v>
      </c>
    </row>
    <row r="41" spans="1:6" x14ac:dyDescent="0.25">
      <c r="A41" s="10">
        <v>40</v>
      </c>
      <c r="B41" s="10"/>
      <c r="C41" s="11">
        <f>January!AH45+February!AH45+March!AH45+April!AH45+May!AH45+June!AH45+July!AH45+August!AH45+September!AH45+October!AH45+November!AH45+December!AH45</f>
        <v>0</v>
      </c>
      <c r="D41" s="11">
        <f>January!AI45+February!AI45+March!AI45+April!AI45+May!AI45+June!AI45+July!AI45+August!AI45+September!AI45+October!AI45+November!AI45+December!AI45</f>
        <v>0</v>
      </c>
      <c r="E41" s="11">
        <f>January!AJ45+February!AJ45+March!AJ45+April!AJ45+May!AJ45+June!AJ45+July!AJ45+August!AJ45+September!AJ45+October!AJ45+November!AJ45+December!AJ45</f>
        <v>0</v>
      </c>
      <c r="F41" s="11">
        <f>January!AK45+February!AK45+March!AK45+April!AK45+May!AK45+June!AK45+July!AK45+August!AK45+September!AK45+October!AK45+November!AK45+December!AK45</f>
        <v>0</v>
      </c>
    </row>
    <row r="42" spans="1:6" x14ac:dyDescent="0.25">
      <c r="A42" s="10">
        <v>41</v>
      </c>
      <c r="B42" s="10"/>
      <c r="C42" s="11">
        <f>January!AH46+February!AH46+March!AH46+April!AH46+May!AH46+June!AH46+July!AH46+August!AH46+September!AH46+October!AH46+November!AH46+December!AH46</f>
        <v>0</v>
      </c>
      <c r="D42" s="11">
        <f>January!AI46+February!AI46+March!AI46+April!AI46+May!AI46+June!AI46+July!AI46+August!AI46+September!AI46+October!AI46+November!AI46+December!AI46</f>
        <v>0</v>
      </c>
      <c r="E42" s="11">
        <f>January!AJ46+February!AJ46+March!AJ46+April!AJ46+May!AJ46+June!AJ46+July!AJ46+August!AJ46+September!AJ46+October!AJ46+November!AJ46+December!AJ46</f>
        <v>0</v>
      </c>
      <c r="F42" s="11">
        <f>January!AK46+February!AK46+March!AK46+April!AK46+May!AK46+June!AK46+July!AK46+August!AK46+September!AK46+October!AK46+November!AK46+December!AK46</f>
        <v>0</v>
      </c>
    </row>
    <row r="43" spans="1:6" x14ac:dyDescent="0.25">
      <c r="A43" s="10">
        <v>42</v>
      </c>
      <c r="B43" s="10"/>
      <c r="C43" s="11">
        <f>January!AH47+February!AH47+March!AH47+April!AH47+May!AH47+June!AH47+July!AH47+August!AH47+September!AH47+October!AH47+November!AH47+December!AH47</f>
        <v>0</v>
      </c>
      <c r="D43" s="11">
        <f>January!AI47+February!AI47+March!AI47+April!AI47+May!AI47+June!AI47+July!AI47+August!AI47+September!AI47+October!AI47+November!AI47+December!AI47</f>
        <v>0</v>
      </c>
      <c r="E43" s="11">
        <f>January!AJ47+February!AJ47+March!AJ47+April!AJ47+May!AJ47+June!AJ47+July!AJ47+August!AJ47+September!AJ47+October!AJ47+November!AJ47+December!AJ47</f>
        <v>0</v>
      </c>
      <c r="F43" s="11">
        <f>January!AK47+February!AK47+March!AK47+April!AK47+May!AK47+June!AK47+July!AK47+August!AK47+September!AK47+October!AK47+November!AK47+December!AK47</f>
        <v>0</v>
      </c>
    </row>
    <row r="44" spans="1:6" x14ac:dyDescent="0.25">
      <c r="A44" s="10">
        <v>43</v>
      </c>
      <c r="B44" s="10"/>
      <c r="C44" s="11">
        <f>January!AH48+February!AH48+March!AH48+April!AH48+May!AH48+June!AH48+July!AH48+August!AH48+September!AH48+October!AH48+November!AH48+December!AH48</f>
        <v>0</v>
      </c>
      <c r="D44" s="11">
        <f>January!AI48+February!AI48+March!AI48+April!AI48+May!AI48+June!AI48+July!AI48+August!AI48+September!AI48+October!AI48+November!AI48+December!AI48</f>
        <v>0</v>
      </c>
      <c r="E44" s="11">
        <f>January!AJ48+February!AJ48+March!AJ48+April!AJ48+May!AJ48+June!AJ48+July!AJ48+August!AJ48+September!AJ48+October!AJ48+November!AJ48+December!AJ48</f>
        <v>0</v>
      </c>
      <c r="F44" s="11">
        <f>January!AK48+February!AK48+March!AK48+April!AK48+May!AK48+June!AK48+July!AK48+August!AK48+September!AK48+October!AK48+November!AK48+December!AK48</f>
        <v>0</v>
      </c>
    </row>
    <row r="45" spans="1:6" x14ac:dyDescent="0.25">
      <c r="A45" s="10">
        <v>44</v>
      </c>
      <c r="B45" s="10"/>
      <c r="C45" s="11">
        <f>January!AH49+February!AH49+March!AH49+April!AH49+May!AH49+June!AH49+July!AH49+August!AH49+September!AH49+October!AH49+November!AH49+December!AH49</f>
        <v>0</v>
      </c>
      <c r="D45" s="11">
        <f>January!AI49+February!AI49+March!AI49+April!AI49+May!AI49+June!AI49+July!AI49+August!AI49+September!AI49+October!AI49+November!AI49+December!AI49</f>
        <v>0</v>
      </c>
      <c r="E45" s="11">
        <f>January!AJ49+February!AJ49+March!AJ49+April!AJ49+May!AJ49+June!AJ49+July!AJ49+August!AJ49+September!AJ49+October!AJ49+November!AJ49+December!AJ49</f>
        <v>0</v>
      </c>
      <c r="F45" s="11">
        <f>January!AK49+February!AK49+March!AK49+April!AK49+May!AK49+June!AK49+July!AK49+August!AK49+September!AK49+October!AK49+November!AK49+December!AK49</f>
        <v>0</v>
      </c>
    </row>
    <row r="46" spans="1:6" x14ac:dyDescent="0.25">
      <c r="A46" s="10">
        <v>45</v>
      </c>
      <c r="B46" s="10"/>
      <c r="C46" s="11">
        <f>January!AH50+February!AH50+March!AH50+April!AH50+May!AH50+June!AH50+July!AH50+August!AH50+September!AH50+October!AH50+November!AH50+December!AH50</f>
        <v>0</v>
      </c>
      <c r="D46" s="11">
        <f>January!AI50+February!AI50+March!AI50+April!AI50+May!AI50+June!AI50+July!AI50+August!AI50+September!AI50+October!AI50+November!AI50+December!AI50</f>
        <v>0</v>
      </c>
      <c r="E46" s="11">
        <f>January!AJ50+February!AJ50+March!AJ50+April!AJ50+May!AJ50+June!AJ50+July!AJ50+August!AJ50+September!AJ50+October!AJ50+November!AJ50+December!AJ50</f>
        <v>0</v>
      </c>
      <c r="F46" s="11">
        <f>January!AK50+February!AK50+March!AK50+April!AK50+May!AK50+June!AK50+July!AK50+August!AK50+September!AK50+October!AK50+November!AK50+December!AK50</f>
        <v>0</v>
      </c>
    </row>
    <row r="47" spans="1:6" x14ac:dyDescent="0.25">
      <c r="A47" s="10">
        <v>46</v>
      </c>
      <c r="B47" s="10"/>
      <c r="C47" s="11">
        <f>January!AH51+February!AH51+March!AH51+April!AH51+May!AH51+June!AH51+July!AH51+August!AH51+September!AH51+October!AH51+November!AH51+December!AH51</f>
        <v>0</v>
      </c>
      <c r="D47" s="11">
        <f>January!AI51+February!AI51+March!AI51+April!AI51+May!AI51+June!AI51+July!AI51+August!AI51+September!AI51+October!AI51+November!AI51+December!AI51</f>
        <v>0</v>
      </c>
      <c r="E47" s="11">
        <f>January!AJ51+February!AJ51+March!AJ51+April!AJ51+May!AJ51+June!AJ51+July!AJ51+August!AJ51+September!AJ51+October!AJ51+November!AJ51+December!AJ51</f>
        <v>0</v>
      </c>
      <c r="F47" s="11">
        <f>January!AK51+February!AK51+March!AK51+April!AK51+May!AK51+June!AK51+July!AK51+August!AK51+September!AK51+October!AK51+November!AK51+December!AK51</f>
        <v>0</v>
      </c>
    </row>
    <row r="48" spans="1:6" x14ac:dyDescent="0.25">
      <c r="A48" s="10">
        <v>47</v>
      </c>
      <c r="B48" s="10"/>
      <c r="C48" s="11">
        <f>January!AH52+February!AH52+March!AH52+April!AH52+May!AH52+June!AH52+July!AH52+August!AH52+September!AH52+October!AH52+November!AH52+December!AH52</f>
        <v>0</v>
      </c>
      <c r="D48" s="11">
        <f>January!AI52+February!AI52+March!AI52+April!AI52+May!AI52+June!AI52+July!AI52+August!AI52+September!AI52+October!AI52+November!AI52+December!AI52</f>
        <v>0</v>
      </c>
      <c r="E48" s="11">
        <f>January!AJ52+February!AJ52+March!AJ52+April!AJ52+May!AJ52+June!AJ52+July!AJ52+August!AJ52+September!AJ52+October!AJ52+November!AJ52+December!AJ52</f>
        <v>0</v>
      </c>
      <c r="F48" s="11">
        <f>January!AK52+February!AK52+March!AK52+April!AK52+May!AK52+June!AK52+July!AK52+August!AK52+September!AK52+October!AK52+November!AK52+December!AK52</f>
        <v>0</v>
      </c>
    </row>
    <row r="49" spans="1:6" x14ac:dyDescent="0.25">
      <c r="A49" s="10">
        <v>48</v>
      </c>
      <c r="B49" s="10"/>
      <c r="C49" s="11">
        <f>January!AH53+February!AH53+March!AH53+April!AH53+May!AH53+June!AH53+July!AH53+August!AH53+September!AH53+October!AH53+November!AH53+December!AH53</f>
        <v>0</v>
      </c>
      <c r="D49" s="11">
        <f>January!AI53+February!AI53+March!AI53+April!AI53+May!AI53+June!AI53+July!AI53+August!AI53+September!AI53+October!AI53+November!AI53+December!AI53</f>
        <v>0</v>
      </c>
      <c r="E49" s="11">
        <f>January!AJ53+February!AJ53+March!AJ53+April!AJ53+May!AJ53+June!AJ53+July!AJ53+August!AJ53+September!AJ53+October!AJ53+November!AJ53+December!AJ53</f>
        <v>0</v>
      </c>
      <c r="F49" s="11">
        <f>January!AK53+February!AK53+March!AK53+April!AK53+May!AK53+June!AK53+July!AK53+August!AK53+September!AK53+October!AK53+November!AK53+December!AK53</f>
        <v>0</v>
      </c>
    </row>
    <row r="50" spans="1:6" x14ac:dyDescent="0.25">
      <c r="A50" s="10">
        <v>49</v>
      </c>
      <c r="B50" s="10"/>
      <c r="C50" s="11">
        <f>January!AH54+February!AH54+March!AH54+April!AH54+May!AH54+June!AH54+July!AH54+August!AH54+September!AH54+October!AH54+November!AH54+December!AH54</f>
        <v>0</v>
      </c>
      <c r="D50" s="11">
        <f>January!AI54+February!AI54+March!AI54+April!AI54+May!AI54+June!AI54+July!AI54+August!AI54+September!AI54+October!AI54+November!AI54+December!AI54</f>
        <v>0</v>
      </c>
      <c r="E50" s="11">
        <f>January!AJ54+February!AJ54+March!AJ54+April!AJ54+May!AJ54+June!AJ54+July!AJ54+August!AJ54+September!AJ54+October!AJ54+November!AJ54+December!AJ54</f>
        <v>0</v>
      </c>
      <c r="F50" s="11">
        <f>January!AK54+February!AK54+March!AK54+April!AK54+May!AK54+June!AK54+July!AK54+August!AK54+September!AK54+October!AK54+November!AK54+December!AK54</f>
        <v>0</v>
      </c>
    </row>
    <row r="51" spans="1:6" x14ac:dyDescent="0.25">
      <c r="A51" s="10">
        <v>50</v>
      </c>
      <c r="B51" s="10"/>
      <c r="C51" s="11">
        <f>January!AH55+February!AH55+March!AH55+April!AH55+May!AH55+June!AH55+July!AH55+August!AH55+September!AH55+October!AH55+November!AH55+December!AH55</f>
        <v>0</v>
      </c>
      <c r="D51" s="11">
        <f>January!AI55+February!AI55+March!AI55+April!AI55+May!AI55+June!AI55+July!AI55+August!AI55+September!AI55+October!AI55+November!AI55+December!AI55</f>
        <v>0</v>
      </c>
      <c r="E51" s="11">
        <f>January!AJ55+February!AJ55+March!AJ55+April!AJ55+May!AJ55+June!AJ55+July!AJ55+August!AJ55+September!AJ55+October!AJ55+November!AJ55+December!AJ55</f>
        <v>0</v>
      </c>
      <c r="F51" s="11">
        <f>January!AK55+February!AK55+March!AK55+April!AK55+May!AK55+June!AK55+July!AK55+August!AK55+September!AK55+October!AK55+November!AK55+December!AK55</f>
        <v>0</v>
      </c>
    </row>
    <row r="52" spans="1:6" x14ac:dyDescent="0.25">
      <c r="A52" s="10">
        <v>51</v>
      </c>
      <c r="B52" s="10"/>
      <c r="C52" s="11">
        <f>January!AH56+February!AH56+March!AH56+April!AH56+May!AH56+June!AH56+July!AH56+August!AH56+September!AH56+October!AH56+November!AH56+December!AH56</f>
        <v>0</v>
      </c>
      <c r="D52" s="11">
        <f>January!AI56+February!AI56+March!AI56+April!AI56+May!AI56+June!AI56+July!AI56+August!AI56+September!AI56+October!AI56+November!AI56+December!AI56</f>
        <v>0</v>
      </c>
      <c r="E52" s="11">
        <f>January!AJ56+February!AJ56+March!AJ56+April!AJ56+May!AJ56+June!AJ56+July!AJ56+August!AJ56+September!AJ56+October!AJ56+November!AJ56+December!AJ56</f>
        <v>0</v>
      </c>
      <c r="F52" s="11">
        <f>January!AK56+February!AK56+March!AK56+April!AK56+May!AK56+June!AK56+July!AK56+August!AK56+September!AK56+October!AK56+November!AK56+December!AK56</f>
        <v>0</v>
      </c>
    </row>
    <row r="53" spans="1:6" x14ac:dyDescent="0.25">
      <c r="A53" s="10">
        <v>52</v>
      </c>
      <c r="B53" s="10"/>
      <c r="C53" s="11">
        <f>January!AH57+February!AH57+March!AH57+April!AH57+May!AH57+June!AH57+July!AH57+August!AH57+September!AH57+October!AH57+November!AH57+December!AH57</f>
        <v>0</v>
      </c>
      <c r="D53" s="11">
        <f>January!AI57+February!AI57+March!AI57+April!AI57+May!AI57+June!AI57+July!AI57+August!AI57+September!AI57+October!AI57+November!AI57+December!AI57</f>
        <v>0</v>
      </c>
      <c r="E53" s="11">
        <f>January!AJ57+February!AJ57+March!AJ57+April!AJ57+May!AJ57+June!AJ57+July!AJ57+August!AJ57+September!AJ57+October!AJ57+November!AJ57+December!AJ57</f>
        <v>0</v>
      </c>
      <c r="F53" s="11">
        <f>January!AK57+February!AK57+March!AK57+April!AK57+May!AK57+June!AK57+July!AK57+August!AK57+September!AK57+October!AK57+November!AK57+December!AK57</f>
        <v>0</v>
      </c>
    </row>
    <row r="54" spans="1:6" x14ac:dyDescent="0.25">
      <c r="A54" s="10">
        <v>53</v>
      </c>
      <c r="B54" s="10"/>
      <c r="C54" s="11">
        <f>January!AH58+February!AH58+March!AH58+April!AH58+May!AH58+June!AH58+July!AH58+August!AH58+September!AH58+October!AH58+November!AH58+December!AH58</f>
        <v>0</v>
      </c>
      <c r="D54" s="11">
        <f>January!AI58+February!AI58+March!AI58+April!AI58+May!AI58+June!AI58+July!AI58+August!AI58+September!AI58+October!AI58+November!AI58+December!AI58</f>
        <v>0</v>
      </c>
      <c r="E54" s="11">
        <f>January!AJ58+February!AJ58+March!AJ58+April!AJ58+May!AJ58+June!AJ58+July!AJ58+August!AJ58+September!AJ58+October!AJ58+November!AJ58+December!AJ58</f>
        <v>0</v>
      </c>
      <c r="F54" s="11">
        <f>January!AK58+February!AK58+March!AK58+April!AK58+May!AK58+June!AK58+July!AK58+August!AK58+September!AK58+October!AK58+November!AK58+December!AK58</f>
        <v>0</v>
      </c>
    </row>
    <row r="55" spans="1:6" x14ac:dyDescent="0.25">
      <c r="A55" s="10">
        <v>54</v>
      </c>
      <c r="B55" s="10"/>
      <c r="C55" s="11">
        <f>January!AH59+February!AH59+March!AH59+April!AH59+May!AH59+June!AH59+July!AH59+August!AH59+September!AH59+October!AH59+November!AH59+December!AH59</f>
        <v>0</v>
      </c>
      <c r="D55" s="11">
        <f>January!AI59+February!AI59+March!AI59+April!AI59+May!AI59+June!AI59+July!AI59+August!AI59+September!AI59+October!AI59+November!AI59+December!AI59</f>
        <v>0</v>
      </c>
      <c r="E55" s="11">
        <f>January!AJ59+February!AJ59+March!AJ59+April!AJ59+May!AJ59+June!AJ59+July!AJ59+August!AJ59+September!AJ59+October!AJ59+November!AJ59+December!AJ59</f>
        <v>0</v>
      </c>
      <c r="F55" s="11">
        <f>January!AK59+February!AK59+March!AK59+April!AK59+May!AK59+June!AK59+July!AK59+August!AK59+September!AK59+October!AK59+November!AK59+December!AK59</f>
        <v>0</v>
      </c>
    </row>
    <row r="56" spans="1:6" x14ac:dyDescent="0.25">
      <c r="A56" s="10">
        <v>55</v>
      </c>
      <c r="B56" s="10"/>
      <c r="C56" s="11">
        <f>January!AH60+February!AH60+March!AH60+April!AH60+May!AH60+June!AH60+July!AH60+August!AH60+September!AH60+October!AH60+November!AH60+December!AH60</f>
        <v>0</v>
      </c>
      <c r="D56" s="11">
        <f>January!AI60+February!AI60+March!AI60+April!AI60+May!AI60+June!AI60+July!AI60+August!AI60+September!AI60+October!AI60+November!AI60+December!AI60</f>
        <v>0</v>
      </c>
      <c r="E56" s="11">
        <f>January!AJ60+February!AJ60+March!AJ60+April!AJ60+May!AJ60+June!AJ60+July!AJ60+August!AJ60+September!AJ60+October!AJ60+November!AJ60+December!AJ60</f>
        <v>0</v>
      </c>
      <c r="F56" s="11">
        <f>January!AK60+February!AK60+March!AK60+April!AK60+May!AK60+June!AK60+July!AK60+August!AK60+September!AK60+October!AK60+November!AK60+December!AK60</f>
        <v>0</v>
      </c>
    </row>
    <row r="57" spans="1:6" x14ac:dyDescent="0.25">
      <c r="A57" s="10">
        <v>56</v>
      </c>
      <c r="B57" s="10"/>
      <c r="C57" s="11">
        <f>January!AH61+February!AH61+March!AH61+April!AH61+May!AH61+June!AH61+July!AH61+August!AH61+September!AH61+October!AH61+November!AH61+December!AH61</f>
        <v>0</v>
      </c>
      <c r="D57" s="11">
        <f>January!AI61+February!AI61+March!AI61+April!AI61+May!AI61+June!AI61+July!AI61+August!AI61+September!AI61+October!AI61+November!AI61+December!AI61</f>
        <v>0</v>
      </c>
      <c r="E57" s="11">
        <f>January!AJ61+February!AJ61+March!AJ61+April!AJ61+May!AJ61+June!AJ61+July!AJ61+August!AJ61+September!AJ61+October!AJ61+November!AJ61+December!AJ61</f>
        <v>0</v>
      </c>
      <c r="F57" s="11">
        <f>January!AK61+February!AK61+March!AK61+April!AK61+May!AK61+June!AK61+July!AK61+August!AK61+September!AK61+October!AK61+November!AK61+December!AK61</f>
        <v>0</v>
      </c>
    </row>
    <row r="58" spans="1:6" x14ac:dyDescent="0.25">
      <c r="A58" s="10">
        <v>57</v>
      </c>
      <c r="B58" s="10"/>
      <c r="C58" s="11">
        <f>January!AH62+February!AH62+March!AH62+April!AH62+May!AH62+June!AH62+July!AH62+August!AH62+September!AH62+October!AH62+November!AH62+December!AH62</f>
        <v>0</v>
      </c>
      <c r="D58" s="11">
        <f>January!AI62+February!AI62+March!AI62+April!AI62+May!AI62+June!AI62+July!AI62+August!AI62+September!AI62+October!AI62+November!AI62+December!AI62</f>
        <v>0</v>
      </c>
      <c r="E58" s="11">
        <f>January!AJ62+February!AJ62+March!AJ62+April!AJ62+May!AJ62+June!AJ62+July!AJ62+August!AJ62+September!AJ62+October!AJ62+November!AJ62+December!AJ62</f>
        <v>0</v>
      </c>
      <c r="F58" s="11">
        <f>January!AK62+February!AK62+March!AK62+April!AK62+May!AK62+June!AK62+July!AK62+August!AK62+September!AK62+October!AK62+November!AK62+December!AK62</f>
        <v>0</v>
      </c>
    </row>
    <row r="59" spans="1:6" x14ac:dyDescent="0.25">
      <c r="A59" s="10">
        <v>58</v>
      </c>
      <c r="B59" s="10"/>
      <c r="C59" s="11">
        <f>January!AH63+February!AH63+March!AH63+April!AH63+May!AH63+June!AH63+July!AH63+August!AH63+September!AH63+October!AH63+November!AH63+December!AH63</f>
        <v>0</v>
      </c>
      <c r="D59" s="11">
        <f>January!AI63+February!AI63+March!AI63+April!AI63+May!AI63+June!AI63+July!AI63+August!AI63+September!AI63+October!AI63+November!AI63+December!AI63</f>
        <v>0</v>
      </c>
      <c r="E59" s="11">
        <f>January!AJ63+February!AJ63+March!AJ63+April!AJ63+May!AJ63+June!AJ63+July!AJ63+August!AJ63+September!AJ63+October!AJ63+November!AJ63+December!AJ63</f>
        <v>0</v>
      </c>
      <c r="F59" s="11">
        <f>January!AK63+February!AK63+March!AK63+April!AK63+May!AK63+June!AK63+July!AK63+August!AK63+September!AK63+October!AK63+November!AK63+December!AK63</f>
        <v>0</v>
      </c>
    </row>
    <row r="60" spans="1:6" x14ac:dyDescent="0.25">
      <c r="A60" s="10">
        <v>59</v>
      </c>
      <c r="B60" s="10"/>
      <c r="C60" s="11">
        <f>January!AH64+February!AH64+March!AH64+April!AH64+May!AH64+June!AH64+July!AH64+August!AH64+September!AH64+October!AH64+November!AH64+December!AH64</f>
        <v>0</v>
      </c>
      <c r="D60" s="11">
        <f>January!AI64+February!AI64+March!AI64+April!AI64+May!AI64+June!AI64+July!AI64+August!AI64+September!AI64+October!AI64+November!AI64+December!AI64</f>
        <v>0</v>
      </c>
      <c r="E60" s="11">
        <f>January!AJ64+February!AJ64+March!AJ64+April!AJ64+May!AJ64+June!AJ64+July!AJ64+August!AJ64+September!AJ64+October!AJ64+November!AJ64+December!AJ64</f>
        <v>0</v>
      </c>
      <c r="F60" s="11">
        <f>January!AK64+February!AK64+March!AK64+April!AK64+May!AK64+June!AK64+July!AK64+August!AK64+September!AK64+October!AK64+November!AK64+December!AK64</f>
        <v>0</v>
      </c>
    </row>
    <row r="61" spans="1:6" x14ac:dyDescent="0.25">
      <c r="A61" s="10">
        <v>60</v>
      </c>
      <c r="B61" s="10"/>
      <c r="C61" s="11">
        <f>January!AH65+February!AH65+March!AH65+April!AH65+May!AH65+June!AH65+July!AH65+August!AH65+September!AH65+October!AH65+November!AH65+December!AH65</f>
        <v>0</v>
      </c>
      <c r="D61" s="11">
        <f>January!AI65+February!AI65+March!AI65+April!AI65+May!AI65+June!AI65+July!AI65+August!AI65+September!AI65+October!AI65+November!AI65+December!AI65</f>
        <v>0</v>
      </c>
      <c r="E61" s="11">
        <f>January!AJ65+February!AJ65+March!AJ65+April!AJ65+May!AJ65+June!AJ65+July!AJ65+August!AJ65+September!AJ65+October!AJ65+November!AJ65+December!AJ65</f>
        <v>0</v>
      </c>
      <c r="F61" s="11">
        <f>January!AK65+February!AK65+March!AK65+April!AK65+May!AK65+June!AK65+July!AK65+August!AK65+September!AK65+October!AK65+November!AK65+December!AK65</f>
        <v>0</v>
      </c>
    </row>
    <row r="62" spans="1:6" x14ac:dyDescent="0.25">
      <c r="A62" s="10">
        <v>61</v>
      </c>
      <c r="B62" s="10"/>
      <c r="C62" s="11">
        <f>January!AH66+February!AH66+March!AH66+April!AH66+May!AH66+June!AH66+July!AH66+August!AH66+September!AH66+October!AH66+November!AH66+December!AH66</f>
        <v>0</v>
      </c>
      <c r="D62" s="11">
        <f>January!AI66+February!AI66+March!AI66+April!AI66+May!AI66+June!AI66+July!AI66+August!AI66+September!AI66+October!AI66+November!AI66+December!AI66</f>
        <v>0</v>
      </c>
      <c r="E62" s="11">
        <f>January!AJ66+February!AJ66+March!AJ66+April!AJ66+May!AJ66+June!AJ66+July!AJ66+August!AJ66+September!AJ66+October!AJ66+November!AJ66+December!AJ66</f>
        <v>0</v>
      </c>
      <c r="F62" s="11">
        <f>January!AK66+February!AK66+March!AK66+April!AK66+May!AK66+June!AK66+July!AK66+August!AK66+September!AK66+October!AK66+November!AK66+December!AK66</f>
        <v>0</v>
      </c>
    </row>
    <row r="63" spans="1:6" x14ac:dyDescent="0.25">
      <c r="A63" s="10">
        <v>62</v>
      </c>
      <c r="B63" s="10"/>
      <c r="C63" s="11">
        <f>January!AH67+February!AH67+March!AH67+April!AH67+May!AH67+June!AH67+July!AH67+August!AH67+September!AH67+October!AH67+November!AH67+December!AH67</f>
        <v>0</v>
      </c>
      <c r="D63" s="11">
        <f>January!AI67+February!AI67+March!AI67+April!AI67+May!AI67+June!AI67+July!AI67+August!AI67+September!AI67+October!AI67+November!AI67+December!AI67</f>
        <v>0</v>
      </c>
      <c r="E63" s="11">
        <f>January!AJ67+February!AJ67+March!AJ67+April!AJ67+May!AJ67+June!AJ67+July!AJ67+August!AJ67+September!AJ67+October!AJ67+November!AJ67+December!AJ67</f>
        <v>0</v>
      </c>
      <c r="F63" s="11">
        <f>January!AK67+February!AK67+March!AK67+April!AK67+May!AK67+June!AK67+July!AK67+August!AK67+September!AK67+October!AK67+November!AK67+December!AK67</f>
        <v>0</v>
      </c>
    </row>
    <row r="64" spans="1:6" x14ac:dyDescent="0.25">
      <c r="A64" s="10">
        <v>63</v>
      </c>
      <c r="B64" s="10"/>
      <c r="C64" s="11">
        <f>January!AH68+February!AH68+March!AH68+April!AH68+May!AH68+June!AH68+July!AH68+August!AH68+September!AH68+October!AH68+November!AH68+December!AH68</f>
        <v>0</v>
      </c>
      <c r="D64" s="11">
        <f>January!AI68+February!AI68+March!AI68+April!AI68+May!AI68+June!AI68+July!AI68+August!AI68+September!AI68+October!AI68+November!AI68+December!AI68</f>
        <v>0</v>
      </c>
      <c r="E64" s="11">
        <f>January!AJ68+February!AJ68+March!AJ68+April!AJ68+May!AJ68+June!AJ68+July!AJ68+August!AJ68+September!AJ68+October!AJ68+November!AJ68+December!AJ68</f>
        <v>0</v>
      </c>
      <c r="F64" s="11">
        <f>January!AK68+February!AK68+March!AK68+April!AK68+May!AK68+June!AK68+July!AK68+August!AK68+September!AK68+October!AK68+November!AK68+December!AK68</f>
        <v>0</v>
      </c>
    </row>
    <row r="65" spans="1:6" x14ac:dyDescent="0.25">
      <c r="A65" s="10">
        <v>64</v>
      </c>
      <c r="B65" s="10"/>
      <c r="C65" s="11">
        <f>January!AH69+February!AH69+March!AH69+April!AH69+May!AH69+June!AH69+July!AH69+August!AH69+September!AH69+October!AH69+November!AH69+December!AH69</f>
        <v>0</v>
      </c>
      <c r="D65" s="11">
        <f>January!AI69+February!AI69+March!AI69+April!AI69+May!AI69+June!AI69+July!AI69+August!AI69+September!AI69+October!AI69+November!AI69+December!AI69</f>
        <v>0</v>
      </c>
      <c r="E65" s="11">
        <f>January!AJ69+February!AJ69+March!AJ69+April!AJ69+May!AJ69+June!AJ69+July!AJ69+August!AJ69+September!AJ69+October!AJ69+November!AJ69+December!AJ69</f>
        <v>0</v>
      </c>
      <c r="F65" s="11">
        <f>January!AK69+February!AK69+March!AK69+April!AK69+May!AK69+June!AK69+July!AK69+August!AK69+September!AK69+October!AK69+November!AK69+December!AK69</f>
        <v>0</v>
      </c>
    </row>
    <row r="66" spans="1:6" x14ac:dyDescent="0.25">
      <c r="A66" s="10">
        <v>65</v>
      </c>
      <c r="B66" s="10"/>
      <c r="C66" s="11">
        <f>January!AH70+February!AH70+March!AH70+April!AH70+May!AH70+June!AH70+July!AH70+August!AH70+September!AH70+October!AH70+November!AH70+December!AH70</f>
        <v>0</v>
      </c>
      <c r="D66" s="11">
        <f>January!AI70+February!AI70+March!AI70+April!AI70+May!AI70+June!AI70+July!AI70+August!AI70+September!AI70+October!AI70+November!AI70+December!AI70</f>
        <v>0</v>
      </c>
      <c r="E66" s="11">
        <f>January!AJ70+February!AJ70+March!AJ70+April!AJ70+May!AJ70+June!AJ70+July!AJ70+August!AJ70+September!AJ70+October!AJ70+November!AJ70+December!AJ70</f>
        <v>0</v>
      </c>
      <c r="F66" s="11">
        <f>January!AK70+February!AK70+March!AK70+April!AK70+May!AK70+June!AK70+July!AK70+August!AK70+September!AK70+October!AK70+November!AK70+December!AK70</f>
        <v>0</v>
      </c>
    </row>
    <row r="67" spans="1:6" x14ac:dyDescent="0.25">
      <c r="A67" s="10">
        <v>66</v>
      </c>
      <c r="B67" s="10"/>
      <c r="C67" s="11">
        <f>January!AH71+February!AH71+March!AH71+April!AH71+May!AH71+June!AH71+July!AH71+August!AH71+September!AH71+October!AH71+November!AH71+December!AH71</f>
        <v>0</v>
      </c>
      <c r="D67" s="11">
        <f>January!AI71+February!AI71+March!AI71+April!AI71+May!AI71+June!AI71+July!AI71+August!AI71+September!AI71+October!AI71+November!AI71+December!AI71</f>
        <v>0</v>
      </c>
      <c r="E67" s="11">
        <f>January!AJ71+February!AJ71+March!AJ71+April!AJ71+May!AJ71+June!AJ71+July!AJ71+August!AJ71+September!AJ71+October!AJ71+November!AJ71+December!AJ71</f>
        <v>0</v>
      </c>
      <c r="F67" s="11">
        <f>January!AK71+February!AK71+March!AK71+April!AK71+May!AK71+June!AK71+July!AK71+August!AK71+September!AK71+October!AK71+November!AK71+December!AK71</f>
        <v>0</v>
      </c>
    </row>
    <row r="68" spans="1:6" x14ac:dyDescent="0.25">
      <c r="A68" s="10">
        <v>67</v>
      </c>
      <c r="B68" s="10"/>
      <c r="C68" s="11">
        <f>January!AH72+February!AH72+March!AH72+April!AH72+May!AH72+June!AH72+July!AH72+August!AH72+September!AH72+October!AH72+November!AH72+December!AH72</f>
        <v>0</v>
      </c>
      <c r="D68" s="11">
        <f>January!AI72+February!AI72+March!AI72+April!AI72+May!AI72+June!AI72+July!AI72+August!AI72+September!AI72+October!AI72+November!AI72+December!AI72</f>
        <v>0</v>
      </c>
      <c r="E68" s="11">
        <f>January!AJ72+February!AJ72+March!AJ72+April!AJ72+May!AJ72+June!AJ72+July!AJ72+August!AJ72+September!AJ72+October!AJ72+November!AJ72+December!AJ72</f>
        <v>0</v>
      </c>
      <c r="F68" s="11">
        <f>January!AK72+February!AK72+March!AK72+April!AK72+May!AK72+June!AK72+July!AK72+August!AK72+September!AK72+October!AK72+November!AK72+December!AK72</f>
        <v>0</v>
      </c>
    </row>
    <row r="69" spans="1:6" x14ac:dyDescent="0.25">
      <c r="A69" s="10">
        <v>68</v>
      </c>
      <c r="B69" s="10"/>
      <c r="C69" s="11">
        <f>January!AH73+February!AH73+March!AH73+April!AH73+May!AH73+June!AH73+July!AH73+August!AH73+September!AH73+October!AH73+November!AH73+December!AH73</f>
        <v>0</v>
      </c>
      <c r="D69" s="11">
        <f>January!AI73+February!AI73+March!AI73+April!AI73+May!AI73+June!AI73+July!AI73+August!AI73+September!AI73+October!AI73+November!AI73+December!AI73</f>
        <v>0</v>
      </c>
      <c r="E69" s="11">
        <f>January!AJ73+February!AJ73+March!AJ73+April!AJ73+May!AJ73+June!AJ73+July!AJ73+August!AJ73+September!AJ73+October!AJ73+November!AJ73+December!AJ73</f>
        <v>0</v>
      </c>
      <c r="F69" s="11">
        <f>January!AK73+February!AK73+March!AK73+April!AK73+May!AK73+June!AK73+July!AK73+August!AK73+September!AK73+October!AK73+November!AK73+December!AK73</f>
        <v>0</v>
      </c>
    </row>
    <row r="70" spans="1:6" x14ac:dyDescent="0.25">
      <c r="A70" s="10">
        <v>69</v>
      </c>
      <c r="B70" s="10"/>
      <c r="C70" s="11">
        <f>January!AH74+February!AH74+March!AH74+April!AH74+May!AH74+June!AH74+July!AH74+August!AH74+September!AH74+October!AH74+November!AH74+December!AH74</f>
        <v>0</v>
      </c>
      <c r="D70" s="11">
        <f>January!AI74+February!AI74+March!AI74+April!AI74+May!AI74+June!AI74+July!AI74+August!AI74+September!AI74+October!AI74+November!AI74+December!AI74</f>
        <v>0</v>
      </c>
      <c r="E70" s="11">
        <f>January!AJ74+February!AJ74+March!AJ74+April!AJ74+May!AJ74+June!AJ74+July!AJ74+August!AJ74+September!AJ74+October!AJ74+November!AJ74+December!AJ74</f>
        <v>0</v>
      </c>
      <c r="F70" s="11">
        <f>January!AK74+February!AK74+March!AK74+April!AK74+May!AK74+June!AK74+July!AK74+August!AK74+September!AK74+October!AK74+November!AK74+December!AK74</f>
        <v>0</v>
      </c>
    </row>
    <row r="71" spans="1:6" x14ac:dyDescent="0.25">
      <c r="A71" s="10">
        <v>70</v>
      </c>
      <c r="B71" s="10"/>
      <c r="C71" s="11">
        <f>January!AH75+February!AH75+March!AH75+April!AH75+May!AH75+June!AH75+July!AH75+August!AH75+September!AH75+October!AH75+November!AH75+December!AH75</f>
        <v>0</v>
      </c>
      <c r="D71" s="11">
        <f>January!AI75+February!AI75+March!AI75+April!AI75+May!AI75+June!AI75+July!AI75+August!AI75+September!AI75+October!AI75+November!AI75+December!AI75</f>
        <v>0</v>
      </c>
      <c r="E71" s="11">
        <f>January!AJ75+February!AJ75+March!AJ75+April!AJ75+May!AJ75+June!AJ75+July!AJ75+August!AJ75+September!AJ75+October!AJ75+November!AJ75+December!AJ75</f>
        <v>0</v>
      </c>
      <c r="F71" s="11">
        <f>January!AK75+February!AK75+March!AK75+April!AK75+May!AK75+June!AK75+July!AK75+August!AK75+September!AK75+October!AK75+November!AK75+December!AK75</f>
        <v>0</v>
      </c>
    </row>
    <row r="72" spans="1:6" x14ac:dyDescent="0.25">
      <c r="A72" s="10">
        <v>71</v>
      </c>
      <c r="B72" s="10"/>
      <c r="C72" s="11">
        <f>January!AH76+February!AH76+March!AH76+April!AH76+May!AH76+June!AH76+July!AH76+August!AH76+September!AH76+October!AH76+November!AH76+December!AH76</f>
        <v>0</v>
      </c>
      <c r="D72" s="11">
        <f>January!AI76+February!AI76+March!AI76+April!AI76+May!AI76+June!AI76+July!AI76+August!AI76+September!AI76+October!AI76+November!AI76+December!AI76</f>
        <v>0</v>
      </c>
      <c r="E72" s="11">
        <f>January!AJ76+February!AJ76+March!AJ76+April!AJ76+May!AJ76+June!AJ76+July!AJ76+August!AJ76+September!AJ76+October!AJ76+November!AJ76+December!AJ76</f>
        <v>0</v>
      </c>
      <c r="F72" s="11">
        <f>January!AK76+February!AK76+March!AK76+April!AK76+May!AK76+June!AK76+July!AK76+August!AK76+September!AK76+October!AK76+November!AK76+December!AK76</f>
        <v>0</v>
      </c>
    </row>
    <row r="73" spans="1:6" x14ac:dyDescent="0.25">
      <c r="A73" s="10">
        <v>72</v>
      </c>
      <c r="B73" s="10"/>
      <c r="C73" s="11">
        <f>January!AH77+February!AH77+March!AH77+April!AH77+May!AH77+June!AH77+July!AH77+August!AH77+September!AH77+October!AH77+November!AH77+December!AH77</f>
        <v>0</v>
      </c>
      <c r="D73" s="11">
        <f>January!AI77+February!AI77+March!AI77+April!AI77+May!AI77+June!AI77+July!AI77+August!AI77+September!AI77+October!AI77+November!AI77+December!AI77</f>
        <v>0</v>
      </c>
      <c r="E73" s="11">
        <f>January!AJ77+February!AJ77+March!AJ77+April!AJ77+May!AJ77+June!AJ77+July!AJ77+August!AJ77+September!AJ77+October!AJ77+November!AJ77+December!AJ77</f>
        <v>0</v>
      </c>
      <c r="F73" s="11">
        <f>January!AK77+February!AK77+March!AK77+April!AK77+May!AK77+June!AK77+July!AK77+August!AK77+September!AK77+October!AK77+November!AK77+December!AK77</f>
        <v>0</v>
      </c>
    </row>
    <row r="74" spans="1:6" x14ac:dyDescent="0.25">
      <c r="A74" s="10">
        <v>73</v>
      </c>
      <c r="B74" s="10"/>
      <c r="C74" s="11">
        <f>January!AH78+February!AH78+March!AH78+April!AH78+May!AH78+June!AH78+July!AH78+August!AH78+September!AH78+October!AH78+November!AH78+December!AH78</f>
        <v>0</v>
      </c>
      <c r="D74" s="11">
        <f>January!AI78+February!AI78+March!AI78+April!AI78+May!AI78+June!AI78+July!AI78+August!AI78+September!AI78+October!AI78+November!AI78+December!AI78</f>
        <v>0</v>
      </c>
      <c r="E74" s="11">
        <f>January!AJ78+February!AJ78+March!AJ78+April!AJ78+May!AJ78+June!AJ78+July!AJ78+August!AJ78+September!AJ78+October!AJ78+November!AJ78+December!AJ78</f>
        <v>0</v>
      </c>
      <c r="F74" s="11">
        <f>January!AK78+February!AK78+March!AK78+April!AK78+May!AK78+June!AK78+July!AK78+August!AK78+September!AK78+October!AK78+November!AK78+December!AK78</f>
        <v>0</v>
      </c>
    </row>
    <row r="75" spans="1:6" x14ac:dyDescent="0.25">
      <c r="A75" s="10">
        <v>74</v>
      </c>
      <c r="B75" s="10"/>
      <c r="C75" s="11">
        <f>January!AH79+February!AH79+March!AH79+April!AH79+May!AH79+June!AH79+July!AH79+August!AH79+September!AH79+October!AH79+November!AH79+December!AH79</f>
        <v>0</v>
      </c>
      <c r="D75" s="11">
        <f>January!AI79+February!AI79+March!AI79+April!AI79+May!AI79+June!AI79+July!AI79+August!AI79+September!AI79+October!AI79+November!AI79+December!AI79</f>
        <v>0</v>
      </c>
      <c r="E75" s="11">
        <f>January!AJ79+February!AJ79+March!AJ79+April!AJ79+May!AJ79+June!AJ79+July!AJ79+August!AJ79+September!AJ79+October!AJ79+November!AJ79+December!AJ79</f>
        <v>0</v>
      </c>
      <c r="F75" s="11">
        <f>January!AK79+February!AK79+March!AK79+April!AK79+May!AK79+June!AK79+July!AK79+August!AK79+September!AK79+October!AK79+November!AK79+December!AK79</f>
        <v>0</v>
      </c>
    </row>
    <row r="76" spans="1:6" x14ac:dyDescent="0.25">
      <c r="A76" s="10">
        <v>75</v>
      </c>
      <c r="B76" s="10"/>
      <c r="C76" s="11">
        <f>January!AH80+February!AH80+March!AH80+April!AH80+May!AH80+June!AH80+July!AH80+August!AH80+September!AH80+October!AH80+November!AH80+December!AH80</f>
        <v>0</v>
      </c>
      <c r="D76" s="11">
        <f>January!AI80+February!AI80+March!AI80+April!AI80+May!AI80+June!AI80+July!AI80+August!AI80+September!AI80+October!AI80+November!AI80+December!AI80</f>
        <v>0</v>
      </c>
      <c r="E76" s="11">
        <f>January!AJ80+February!AJ80+March!AJ80+April!AJ80+May!AJ80+June!AJ80+July!AJ80+August!AJ80+September!AJ80+October!AJ80+November!AJ80+December!AJ80</f>
        <v>0</v>
      </c>
      <c r="F76" s="11">
        <f>January!AK80+February!AK80+March!AK80+April!AK80+May!AK80+June!AK80+July!AK80+August!AK80+September!AK80+October!AK80+November!AK80+December!AK80</f>
        <v>0</v>
      </c>
    </row>
    <row r="77" spans="1:6" x14ac:dyDescent="0.25">
      <c r="A77" s="10">
        <v>76</v>
      </c>
      <c r="B77" s="10"/>
      <c r="C77" s="11">
        <f>January!AH81+February!AH81+March!AH81+April!AH81+May!AH81+June!AH81+July!AH81+August!AH81+September!AH81+October!AH81+November!AH81+December!AH81</f>
        <v>0</v>
      </c>
      <c r="D77" s="11">
        <f>January!AI81+February!AI81+March!AI81+April!AI81+May!AI81+June!AI81+July!AI81+August!AI81+September!AI81+October!AI81+November!AI81+December!AI81</f>
        <v>0</v>
      </c>
      <c r="E77" s="11">
        <f>January!AJ81+February!AJ81+March!AJ81+April!AJ81+May!AJ81+June!AJ81+July!AJ81+August!AJ81+September!AJ81+October!AJ81+November!AJ81+December!AJ81</f>
        <v>0</v>
      </c>
      <c r="F77" s="11">
        <f>January!AK81+February!AK81+March!AK81+April!AK81+May!AK81+June!AK81+July!AK81+August!AK81+September!AK81+October!AK81+November!AK81+December!AK81</f>
        <v>0</v>
      </c>
    </row>
    <row r="78" spans="1:6" x14ac:dyDescent="0.25">
      <c r="A78" s="10">
        <v>77</v>
      </c>
      <c r="B78" s="10"/>
      <c r="C78" s="11">
        <f>January!AH82+February!AH82+March!AH82+April!AH82+May!AH82+June!AH82+July!AH82+August!AH82+September!AH82+October!AH82+November!AH82+December!AH82</f>
        <v>0</v>
      </c>
      <c r="D78" s="11">
        <f>January!AI82+February!AI82+March!AI82+April!AI82+May!AI82+June!AI82+July!AI82+August!AI82+September!AI82+October!AI82+November!AI82+December!AI82</f>
        <v>0</v>
      </c>
      <c r="E78" s="11">
        <f>January!AJ82+February!AJ82+March!AJ82+April!AJ82+May!AJ82+June!AJ82+July!AJ82+August!AJ82+September!AJ82+October!AJ82+November!AJ82+December!AJ82</f>
        <v>0</v>
      </c>
      <c r="F78" s="11">
        <f>January!AK82+February!AK82+March!AK82+April!AK82+May!AK82+June!AK82+July!AK82+August!AK82+September!AK82+October!AK82+November!AK82+December!AK82</f>
        <v>0</v>
      </c>
    </row>
    <row r="79" spans="1:6" x14ac:dyDescent="0.25">
      <c r="A79" s="10">
        <v>78</v>
      </c>
      <c r="B79" s="10"/>
      <c r="C79" s="11">
        <f>January!AH83+February!AH83+March!AH83+April!AH83+May!AH83+June!AH83+July!AH83+August!AH83+September!AH83+October!AH83+November!AH83+December!AH83</f>
        <v>0</v>
      </c>
      <c r="D79" s="11">
        <f>January!AI83+February!AI83+March!AI83+April!AI83+May!AI83+June!AI83+July!AI83+August!AI83+September!AI83+October!AI83+November!AI83+December!AI83</f>
        <v>0</v>
      </c>
      <c r="E79" s="11">
        <f>January!AJ83+February!AJ83+March!AJ83+April!AJ83+May!AJ83+June!AJ83+July!AJ83+August!AJ83+September!AJ83+October!AJ83+November!AJ83+December!AJ83</f>
        <v>0</v>
      </c>
      <c r="F79" s="11">
        <f>January!AK83+February!AK83+March!AK83+April!AK83+May!AK83+June!AK83+July!AK83+August!AK83+September!AK83+October!AK83+November!AK83+December!AK83</f>
        <v>0</v>
      </c>
    </row>
    <row r="80" spans="1:6" x14ac:dyDescent="0.25">
      <c r="A80" s="10">
        <v>79</v>
      </c>
      <c r="B80" s="10"/>
      <c r="C80" s="11">
        <f>January!AH84+February!AH84+March!AH84+April!AH84+May!AH84+June!AH84+July!AH84+August!AH84+September!AH84+October!AH84+November!AH84+December!AH84</f>
        <v>0</v>
      </c>
      <c r="D80" s="11">
        <f>January!AI84+February!AI84+March!AI84+April!AI84+May!AI84+June!AI84+July!AI84+August!AI84+September!AI84+October!AI84+November!AI84+December!AI84</f>
        <v>0</v>
      </c>
      <c r="E80" s="11">
        <f>January!AJ84+February!AJ84+March!AJ84+April!AJ84+May!AJ84+June!AJ84+July!AJ84+August!AJ84+September!AJ84+October!AJ84+November!AJ84+December!AJ84</f>
        <v>0</v>
      </c>
      <c r="F80" s="11">
        <f>January!AK84+February!AK84+March!AK84+April!AK84+May!AK84+June!AK84+July!AK84+August!AK84+September!AK84+October!AK84+November!AK84+December!AK84</f>
        <v>0</v>
      </c>
    </row>
    <row r="81" spans="1:6" x14ac:dyDescent="0.25">
      <c r="A81" s="10">
        <v>80</v>
      </c>
      <c r="B81" s="10"/>
      <c r="C81" s="11">
        <f>January!AH85+February!AH85+March!AH85+April!AH85+May!AH85+June!AH85+July!AH85+August!AH85+September!AH85+October!AH85+November!AH85+December!AH85</f>
        <v>0</v>
      </c>
      <c r="D81" s="11">
        <f>January!AI85+February!AI85+March!AI85+April!AI85+May!AI85+June!AI85+July!AI85+August!AI85+September!AI85+October!AI85+November!AI85+December!AI85</f>
        <v>0</v>
      </c>
      <c r="E81" s="11">
        <f>January!AJ85+February!AJ85+March!AJ85+April!AJ85+May!AJ85+June!AJ85+July!AJ85+August!AJ85+September!AJ85+October!AJ85+November!AJ85+December!AJ85</f>
        <v>0</v>
      </c>
      <c r="F81" s="11">
        <f>January!AK85+February!AK85+March!AK85+April!AK85+May!AK85+June!AK85+July!AK85+August!AK85+September!AK85+October!AK85+November!AK85+December!AK85</f>
        <v>0</v>
      </c>
    </row>
    <row r="82" spans="1:6" x14ac:dyDescent="0.25">
      <c r="A82" s="10">
        <v>81</v>
      </c>
      <c r="B82" s="10"/>
      <c r="C82" s="11">
        <f>January!AH86+February!AH86+March!AH86+April!AH86+May!AH86+June!AH86+July!AH86+August!AH86+September!AH86+October!AH86+November!AH86+December!AH86</f>
        <v>0</v>
      </c>
      <c r="D82" s="11">
        <f>January!AI86+February!AI86+March!AI86+April!AI86+May!AI86+June!AI86+July!AI86+August!AI86+September!AI86+October!AI86+November!AI86+December!AI86</f>
        <v>0</v>
      </c>
      <c r="E82" s="11">
        <f>January!AJ86+February!AJ86+March!AJ86+April!AJ86+May!AJ86+June!AJ86+July!AJ86+August!AJ86+September!AJ86+October!AJ86+November!AJ86+December!AJ86</f>
        <v>0</v>
      </c>
      <c r="F82" s="11">
        <f>January!AK86+February!AK86+March!AK86+April!AK86+May!AK86+June!AK86+July!AK86+August!AK86+September!AK86+October!AK86+November!AK86+December!AK86</f>
        <v>0</v>
      </c>
    </row>
    <row r="83" spans="1:6" x14ac:dyDescent="0.25">
      <c r="A83" s="10">
        <v>82</v>
      </c>
      <c r="B83" s="10"/>
      <c r="C83" s="11">
        <f>January!AH87+February!AH87+March!AH87+April!AH87+May!AH87+June!AH87+July!AH87+August!AH87+September!AH87+October!AH87+November!AH87+December!AH87</f>
        <v>0</v>
      </c>
      <c r="D83" s="11">
        <f>January!AI87+February!AI87+March!AI87+April!AI87+May!AI87+June!AI87+July!AI87+August!AI87+September!AI87+October!AI87+November!AI87+December!AI87</f>
        <v>0</v>
      </c>
      <c r="E83" s="11">
        <f>January!AJ87+February!AJ87+March!AJ87+April!AJ87+May!AJ87+June!AJ87+July!AJ87+August!AJ87+September!AJ87+October!AJ87+November!AJ87+December!AJ87</f>
        <v>0</v>
      </c>
      <c r="F83" s="11">
        <f>January!AK87+February!AK87+March!AK87+April!AK87+May!AK87+June!AK87+July!AK87+August!AK87+September!AK87+October!AK87+November!AK87+December!AK87</f>
        <v>0</v>
      </c>
    </row>
    <row r="84" spans="1:6" x14ac:dyDescent="0.25">
      <c r="A84" s="10">
        <v>83</v>
      </c>
      <c r="B84" s="10"/>
      <c r="C84" s="11">
        <f>January!AH88+February!AH88+March!AH88+April!AH88+May!AH88+June!AH88+July!AH88+August!AH88+September!AH88+October!AH88+November!AH88+December!AH88</f>
        <v>0</v>
      </c>
      <c r="D84" s="11">
        <f>January!AI88+February!AI88+March!AI88+April!AI88+May!AI88+June!AI88+July!AI88+August!AI88+September!AI88+October!AI88+November!AI88+December!AI88</f>
        <v>0</v>
      </c>
      <c r="E84" s="11">
        <f>January!AJ88+February!AJ88+March!AJ88+April!AJ88+May!AJ88+June!AJ88+July!AJ88+August!AJ88+September!AJ88+October!AJ88+November!AJ88+December!AJ88</f>
        <v>0</v>
      </c>
      <c r="F84" s="11">
        <f>January!AK88+February!AK88+March!AK88+April!AK88+May!AK88+June!AK88+July!AK88+August!AK88+September!AK88+October!AK88+November!AK88+December!AK88</f>
        <v>0</v>
      </c>
    </row>
    <row r="85" spans="1:6" x14ac:dyDescent="0.25">
      <c r="A85" s="10">
        <v>84</v>
      </c>
      <c r="B85" s="10"/>
      <c r="C85" s="11">
        <f>January!AH89+February!AH89+March!AH89+April!AH89+May!AH89+June!AH89+July!AH89+August!AH89+September!AH89+October!AH89+November!AH89+December!AH89</f>
        <v>0</v>
      </c>
      <c r="D85" s="11">
        <f>January!AI89+February!AI89+March!AI89+April!AI89+May!AI89+June!AI89+July!AI89+August!AI89+September!AI89+October!AI89+November!AI89+December!AI89</f>
        <v>0</v>
      </c>
      <c r="E85" s="11">
        <f>January!AJ89+February!AJ89+March!AJ89+April!AJ89+May!AJ89+June!AJ89+July!AJ89+August!AJ89+September!AJ89+October!AJ89+November!AJ89+December!AJ89</f>
        <v>0</v>
      </c>
      <c r="F85" s="11">
        <f>January!AK89+February!AK89+March!AK89+April!AK89+May!AK89+June!AK89+July!AK89+August!AK89+September!AK89+October!AK89+November!AK89+December!AK89</f>
        <v>0</v>
      </c>
    </row>
    <row r="86" spans="1:6" x14ac:dyDescent="0.25">
      <c r="A86" s="10">
        <v>85</v>
      </c>
      <c r="B86" s="10"/>
      <c r="C86" s="11">
        <f>January!AH90+February!AH90+March!AH90+April!AH90+May!AH90+June!AH90+July!AH90+August!AH90+September!AH90+October!AH90+November!AH90+December!AH90</f>
        <v>0</v>
      </c>
      <c r="D86" s="11">
        <f>January!AI90+February!AI90+March!AI90+April!AI90+May!AI90+June!AI90+July!AI90+August!AI90+September!AI90+October!AI90+November!AI90+December!AI90</f>
        <v>0</v>
      </c>
      <c r="E86" s="11">
        <f>January!AJ90+February!AJ90+March!AJ90+April!AJ90+May!AJ90+June!AJ90+July!AJ90+August!AJ90+September!AJ90+October!AJ90+November!AJ90+December!AJ90</f>
        <v>0</v>
      </c>
      <c r="F86" s="11">
        <f>January!AK90+February!AK90+March!AK90+April!AK90+May!AK90+June!AK90+July!AK90+August!AK90+September!AK90+October!AK90+November!AK90+December!AK90</f>
        <v>0</v>
      </c>
    </row>
    <row r="87" spans="1:6" x14ac:dyDescent="0.25">
      <c r="A87" s="10">
        <v>86</v>
      </c>
      <c r="B87" s="10"/>
      <c r="C87" s="11">
        <f>January!AH91+February!AH91+March!AH91+April!AH91+May!AH91+June!AH91+July!AH91+August!AH91+September!AH91+October!AH91+November!AH91+December!AH91</f>
        <v>0</v>
      </c>
      <c r="D87" s="11">
        <f>January!AI91+February!AI91+March!AI91+April!AI91+May!AI91+June!AI91+July!AI91+August!AI91+September!AI91+October!AI91+November!AI91+December!AI91</f>
        <v>0</v>
      </c>
      <c r="E87" s="11">
        <f>January!AJ91+February!AJ91+March!AJ91+April!AJ91+May!AJ91+June!AJ91+July!AJ91+August!AJ91+September!AJ91+October!AJ91+November!AJ91+December!AJ91</f>
        <v>0</v>
      </c>
      <c r="F87" s="11">
        <f>January!AK91+February!AK91+March!AK91+April!AK91+May!AK91+June!AK91+July!AK91+August!AK91+September!AK91+October!AK91+November!AK91+December!AK91</f>
        <v>0</v>
      </c>
    </row>
    <row r="88" spans="1:6" x14ac:dyDescent="0.25">
      <c r="A88" s="10">
        <v>87</v>
      </c>
      <c r="B88" s="10"/>
      <c r="C88" s="11">
        <f>January!AH92+February!AH92+March!AH92+April!AH92+May!AH92+June!AH92+July!AH92+August!AH92+September!AH92+October!AH92+November!AH92+December!AH92</f>
        <v>0</v>
      </c>
      <c r="D88" s="11">
        <f>January!AI92+February!AI92+March!AI92+April!AI92+May!AI92+June!AI92+July!AI92+August!AI92+September!AI92+October!AI92+November!AI92+December!AI92</f>
        <v>0</v>
      </c>
      <c r="E88" s="11">
        <f>January!AJ92+February!AJ92+March!AJ92+April!AJ92+May!AJ92+June!AJ92+July!AJ92+August!AJ92+September!AJ92+October!AJ92+November!AJ92+December!AJ92</f>
        <v>0</v>
      </c>
      <c r="F88" s="11">
        <f>January!AK92+February!AK92+March!AK92+April!AK92+May!AK92+June!AK92+July!AK92+August!AK92+September!AK92+October!AK92+November!AK92+December!AK92</f>
        <v>0</v>
      </c>
    </row>
    <row r="89" spans="1:6" x14ac:dyDescent="0.25">
      <c r="A89" s="10">
        <v>88</v>
      </c>
      <c r="B89" s="10"/>
      <c r="C89" s="11">
        <f>January!AH93+February!AH93+March!AH93+April!AH93+May!AH93+June!AH93+July!AH93+August!AH93+September!AH93+October!AH93+November!AH93+December!AH93</f>
        <v>0</v>
      </c>
      <c r="D89" s="11">
        <f>January!AI93+February!AI93+March!AI93+April!AI93+May!AI93+June!AI93+July!AI93+August!AI93+September!AI93+October!AI93+November!AI93+December!AI93</f>
        <v>0</v>
      </c>
      <c r="E89" s="11">
        <f>January!AJ93+February!AJ93+March!AJ93+April!AJ93+May!AJ93+June!AJ93+July!AJ93+August!AJ93+September!AJ93+October!AJ93+November!AJ93+December!AJ93</f>
        <v>0</v>
      </c>
      <c r="F89" s="11">
        <f>January!AK93+February!AK93+March!AK93+April!AK93+May!AK93+June!AK93+July!AK93+August!AK93+September!AK93+October!AK93+November!AK93+December!AK93</f>
        <v>0</v>
      </c>
    </row>
    <row r="90" spans="1:6" x14ac:dyDescent="0.25">
      <c r="A90" s="10">
        <v>89</v>
      </c>
      <c r="B90" s="10"/>
      <c r="C90" s="11">
        <f>January!AH94+February!AH94+March!AH94+April!AH94+May!AH94+June!AH94+July!AH94+August!AH94+September!AH94+October!AH94+November!AH94+December!AH94</f>
        <v>0</v>
      </c>
      <c r="D90" s="11">
        <f>January!AI94+February!AI94+March!AI94+April!AI94+May!AI94+June!AI94+July!AI94+August!AI94+September!AI94+October!AI94+November!AI94+December!AI94</f>
        <v>0</v>
      </c>
      <c r="E90" s="11">
        <f>January!AJ94+February!AJ94+March!AJ94+April!AJ94+May!AJ94+June!AJ94+July!AJ94+August!AJ94+September!AJ94+October!AJ94+November!AJ94+December!AJ94</f>
        <v>0</v>
      </c>
      <c r="F90" s="11">
        <f>January!AK94+February!AK94+March!AK94+April!AK94+May!AK94+June!AK94+July!AK94+August!AK94+September!AK94+October!AK94+November!AK94+December!AK94</f>
        <v>0</v>
      </c>
    </row>
    <row r="91" spans="1:6" x14ac:dyDescent="0.25">
      <c r="A91" s="10">
        <v>90</v>
      </c>
      <c r="B91" s="10"/>
      <c r="C91" s="11">
        <f>January!AH95+February!AH95+March!AH95+April!AH95+May!AH95+June!AH95+July!AH95+August!AH95+September!AH95+October!AH95+November!AH95+December!AH95</f>
        <v>0</v>
      </c>
      <c r="D91" s="11">
        <f>January!AI95+February!AI95+March!AI95+April!AI95+May!AI95+June!AI95+July!AI95+August!AI95+September!AI95+October!AI95+November!AI95+December!AI95</f>
        <v>0</v>
      </c>
      <c r="E91" s="11">
        <f>January!AJ95+February!AJ95+March!AJ95+April!AJ95+May!AJ95+June!AJ95+July!AJ95+August!AJ95+September!AJ95+October!AJ95+November!AJ95+December!AJ95</f>
        <v>0</v>
      </c>
      <c r="F91" s="11">
        <f>January!AK95+February!AK95+March!AK95+April!AK95+May!AK95+June!AK95+July!AK95+August!AK95+September!AK95+October!AK95+November!AK95+December!AK95</f>
        <v>0</v>
      </c>
    </row>
    <row r="92" spans="1:6" x14ac:dyDescent="0.25">
      <c r="A92" s="10">
        <v>91</v>
      </c>
      <c r="B92" s="10"/>
      <c r="C92" s="11">
        <f>January!AH96+February!AH96+March!AH96+April!AH96+May!AH96+June!AH96+July!AH96+August!AH96+September!AH96+October!AH96+November!AH96+December!AH96</f>
        <v>0</v>
      </c>
      <c r="D92" s="11">
        <f>January!AI96+February!AI96+March!AI96+April!AI96+May!AI96+June!AI96+July!AI96+August!AI96+September!AI96+October!AI96+November!AI96+December!AI96</f>
        <v>0</v>
      </c>
      <c r="E92" s="11">
        <f>January!AJ96+February!AJ96+March!AJ96+April!AJ96+May!AJ96+June!AJ96+July!AJ96+August!AJ96+September!AJ96+October!AJ96+November!AJ96+December!AJ96</f>
        <v>0</v>
      </c>
      <c r="F92" s="11">
        <f>January!AK96+February!AK96+March!AK96+April!AK96+May!AK96+June!AK96+July!AK96+August!AK96+September!AK96+October!AK96+November!AK96+December!AK96</f>
        <v>0</v>
      </c>
    </row>
    <row r="93" spans="1:6" x14ac:dyDescent="0.25">
      <c r="A93" s="10">
        <v>92</v>
      </c>
      <c r="B93" s="10"/>
      <c r="C93" s="11">
        <f>January!AH97+February!AH97+March!AH97+April!AH97+May!AH97+June!AH97+July!AH97+August!AH97+September!AH97+October!AH97+November!AH97+December!AH97</f>
        <v>0</v>
      </c>
      <c r="D93" s="11">
        <f>January!AI97+February!AI97+March!AI97+April!AI97+May!AI97+June!AI97+July!AI97+August!AI97+September!AI97+October!AI97+November!AI97+December!AI97</f>
        <v>0</v>
      </c>
      <c r="E93" s="11">
        <f>January!AJ97+February!AJ97+March!AJ97+April!AJ97+May!AJ97+June!AJ97+July!AJ97+August!AJ97+September!AJ97+October!AJ97+November!AJ97+December!AJ97</f>
        <v>0</v>
      </c>
      <c r="F93" s="11">
        <f>January!AK97+February!AK97+March!AK97+April!AK97+May!AK97+June!AK97+July!AK97+August!AK97+September!AK97+October!AK97+November!AK97+December!AK97</f>
        <v>0</v>
      </c>
    </row>
    <row r="94" spans="1:6" x14ac:dyDescent="0.25">
      <c r="A94" s="10">
        <v>93</v>
      </c>
      <c r="B94" s="10"/>
      <c r="C94" s="11">
        <f>January!AH98+February!AH98+March!AH98+April!AH98+May!AH98+June!AH98+July!AH98+August!AH98+September!AH98+October!AH98+November!AH98+December!AH98</f>
        <v>0</v>
      </c>
      <c r="D94" s="11">
        <f>January!AI98+February!AI98+March!AI98+April!AI98+May!AI98+June!AI98+July!AI98+August!AI98+September!AI98+October!AI98+November!AI98+December!AI98</f>
        <v>0</v>
      </c>
      <c r="E94" s="11">
        <f>January!AJ98+February!AJ98+March!AJ98+April!AJ98+May!AJ98+June!AJ98+July!AJ98+August!AJ98+September!AJ98+October!AJ98+November!AJ98+December!AJ98</f>
        <v>0</v>
      </c>
      <c r="F94" s="11">
        <f>January!AK98+February!AK98+March!AK98+April!AK98+May!AK98+June!AK98+July!AK98+August!AK98+September!AK98+October!AK98+November!AK98+December!AK98</f>
        <v>0</v>
      </c>
    </row>
    <row r="95" spans="1:6" x14ac:dyDescent="0.25">
      <c r="A95" s="10">
        <v>94</v>
      </c>
      <c r="B95" s="10"/>
      <c r="C95" s="11">
        <f>January!AH99+February!AH99+March!AH99+April!AH99+May!AH99+June!AH99+July!AH99+August!AH99+September!AH99+October!AH99+November!AH99+December!AH99</f>
        <v>0</v>
      </c>
      <c r="D95" s="11">
        <f>January!AI99+February!AI99+March!AI99+April!AI99+May!AI99+June!AI99+July!AI99+August!AI99+September!AI99+October!AI99+November!AI99+December!AI99</f>
        <v>0</v>
      </c>
      <c r="E95" s="11">
        <f>January!AJ99+February!AJ99+March!AJ99+April!AJ99+May!AJ99+June!AJ99+July!AJ99+August!AJ99+September!AJ99+October!AJ99+November!AJ99+December!AJ99</f>
        <v>0</v>
      </c>
      <c r="F95" s="11">
        <f>January!AK99+February!AK99+March!AK99+April!AK99+May!AK99+June!AK99+July!AK99+August!AK99+September!AK99+October!AK99+November!AK99+December!AK99</f>
        <v>0</v>
      </c>
    </row>
    <row r="96" spans="1:6" x14ac:dyDescent="0.25">
      <c r="A96" s="10">
        <v>95</v>
      </c>
      <c r="B96" s="10"/>
      <c r="C96" s="11">
        <f>January!AH100+February!AH100+March!AH100+April!AH100+May!AH100+June!AH100+July!AH100+August!AH100+September!AH100+October!AH100+November!AH100+December!AH100</f>
        <v>0</v>
      </c>
      <c r="D96" s="11">
        <f>January!AI100+February!AI100+March!AI100+April!AI100+May!AI100+June!AI100+July!AI100+August!AI100+September!AI100+October!AI100+November!AI100+December!AI100</f>
        <v>0</v>
      </c>
      <c r="E96" s="11">
        <f>January!AJ100+February!AJ100+March!AJ100+April!AJ100+May!AJ100+June!AJ100+July!AJ100+August!AJ100+September!AJ100+October!AJ100+November!AJ100+December!AJ100</f>
        <v>0</v>
      </c>
      <c r="F96" s="11">
        <f>January!AK100+February!AK100+March!AK100+April!AK100+May!AK100+June!AK100+July!AK100+August!AK100+September!AK100+October!AK100+November!AK100+December!AK100</f>
        <v>0</v>
      </c>
    </row>
    <row r="97" spans="1:6" x14ac:dyDescent="0.25">
      <c r="A97" s="10">
        <v>96</v>
      </c>
      <c r="B97" s="10"/>
      <c r="C97" s="11">
        <f>January!AH101+February!AH101+March!AH101+April!AH101+May!AH101+June!AH101+July!AH101+August!AH101+September!AH101+October!AH101+November!AH101+December!AH101</f>
        <v>0</v>
      </c>
      <c r="D97" s="11">
        <f>January!AI101+February!AI101+March!AI101+April!AI101+May!AI101+June!AI101+July!AI101+August!AI101+September!AI101+October!AI101+November!AI101+December!AI101</f>
        <v>0</v>
      </c>
      <c r="E97" s="11">
        <f>January!AJ101+February!AJ101+March!AJ101+April!AJ101+May!AJ101+June!AJ101+July!AJ101+August!AJ101+September!AJ101+October!AJ101+November!AJ101+December!AJ101</f>
        <v>0</v>
      </c>
      <c r="F97" s="11">
        <f>January!AK101+February!AK101+March!AK101+April!AK101+May!AK101+June!AK101+July!AK101+August!AK101+September!AK101+October!AK101+November!AK101+December!AK101</f>
        <v>0</v>
      </c>
    </row>
    <row r="98" spans="1:6" x14ac:dyDescent="0.25">
      <c r="A98" s="10">
        <v>97</v>
      </c>
      <c r="B98" s="10"/>
      <c r="C98" s="11">
        <f>January!AH102+February!AH102+March!AH102+April!AH102+May!AH102+June!AH102+July!AH102+August!AH102+September!AH102+October!AH102+November!AH102+December!AH102</f>
        <v>0</v>
      </c>
      <c r="D98" s="11">
        <f>January!AI102+February!AI102+March!AI102+April!AI102+May!AI102+June!AI102+July!AI102+August!AI102+September!AI102+October!AI102+November!AI102+December!AI102</f>
        <v>0</v>
      </c>
      <c r="E98" s="11">
        <f>January!AJ102+February!AJ102+March!AJ102+April!AJ102+May!AJ102+June!AJ102+July!AJ102+August!AJ102+September!AJ102+October!AJ102+November!AJ102+December!AJ102</f>
        <v>0</v>
      </c>
      <c r="F98" s="11">
        <f>January!AK102+February!AK102+March!AK102+April!AK102+May!AK102+June!AK102+July!AK102+August!AK102+September!AK102+October!AK102+November!AK102+December!AK102</f>
        <v>0</v>
      </c>
    </row>
    <row r="99" spans="1:6" x14ac:dyDescent="0.25">
      <c r="A99" s="10">
        <v>98</v>
      </c>
      <c r="B99" s="10"/>
      <c r="C99" s="11">
        <f>January!AH103+February!AH103+March!AH103+April!AH103+May!AH103+June!AH103+July!AH103+August!AH103+September!AH103+October!AH103+November!AH103+December!AH103</f>
        <v>0</v>
      </c>
      <c r="D99" s="11">
        <f>January!AI103+February!AI103+March!AI103+April!AI103+May!AI103+June!AI103+July!AI103+August!AI103+September!AI103+October!AI103+November!AI103+December!AI103</f>
        <v>0</v>
      </c>
      <c r="E99" s="11">
        <f>January!AJ103+February!AJ103+March!AJ103+April!AJ103+May!AJ103+June!AJ103+July!AJ103+August!AJ103+September!AJ103+October!AJ103+November!AJ103+December!AJ103</f>
        <v>0</v>
      </c>
      <c r="F99" s="11">
        <f>January!AK103+February!AK103+March!AK103+April!AK103+May!AK103+June!AK103+July!AK103+August!AK103+September!AK103+October!AK103+November!AK103+December!AK103</f>
        <v>0</v>
      </c>
    </row>
    <row r="100" spans="1:6" x14ac:dyDescent="0.25">
      <c r="A100" s="10">
        <v>99</v>
      </c>
      <c r="B100" s="10"/>
      <c r="C100" s="11">
        <f>January!AH104+February!AH104+March!AH104+April!AH104+May!AH104+June!AH104+July!AH104+August!AH104+September!AH104+October!AH104+November!AH104+December!AH104</f>
        <v>0</v>
      </c>
      <c r="D100" s="11">
        <f>January!AI104+February!AI104+March!AI104+April!AI104+May!AI104+June!AI104+July!AI104+August!AI104+September!AI104+October!AI104+November!AI104+December!AI104</f>
        <v>0</v>
      </c>
      <c r="E100" s="11">
        <f>January!AJ104+February!AJ104+March!AJ104+April!AJ104+May!AJ104+June!AJ104+July!AJ104+August!AJ104+September!AJ104+October!AJ104+November!AJ104+December!AJ104</f>
        <v>0</v>
      </c>
      <c r="F100" s="11">
        <f>January!AK104+February!AK104+March!AK104+April!AK104+May!AK104+June!AK104+July!AK104+August!AK104+September!AK104+October!AK104+November!AK104+December!AK104</f>
        <v>0</v>
      </c>
    </row>
    <row r="101" spans="1:6" x14ac:dyDescent="0.25">
      <c r="A101" s="10">
        <v>100</v>
      </c>
      <c r="B101" s="10"/>
      <c r="C101" s="11">
        <f>January!AH105+February!AH105+March!AH105+April!AH105+May!AH105+June!AH105+July!AH105+August!AH105+September!AH105+October!AH105+November!AH105+December!AH105</f>
        <v>0</v>
      </c>
      <c r="D101" s="11">
        <f>January!AI105+February!AI105+March!AI105+April!AI105+May!AI105+June!AI105+July!AI105+August!AI105+September!AI105+October!AI105+November!AI105+December!AI105</f>
        <v>0</v>
      </c>
      <c r="E101" s="11">
        <f>January!AJ105+February!AJ105+March!AJ105+April!AJ105+May!AJ105+June!AJ105+July!AJ105+August!AJ105+September!AJ105+October!AJ105+November!AJ105+December!AJ105</f>
        <v>0</v>
      </c>
      <c r="F101" s="11">
        <f>January!AK105+February!AK105+March!AK105+April!AK105+May!AK105+June!AK105+July!AK105+August!AK105+September!AK105+October!AK105+November!AK105+December!AK105</f>
        <v>0</v>
      </c>
    </row>
  </sheetData>
  <mergeCells count="2">
    <mergeCell ref="I1:O2"/>
    <mergeCell ref="I3:O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28AE0-E5CB-4805-89FA-FCC029C341F8}">
  <sheetPr codeName="Sheet81"/>
  <dimension ref="A1:AK105"/>
  <sheetViews>
    <sheetView rightToLeft="1" topLeftCell="B1" zoomScale="109" workbookViewId="0">
      <selection activeCell="C6" sqref="C6:Q8"/>
    </sheetView>
  </sheetViews>
  <sheetFormatPr defaultRowHeight="15" x14ac:dyDescent="0.25"/>
  <cols>
    <col min="1" max="1" width="4.7109375" customWidth="1"/>
    <col min="2" max="2" width="25.7109375" customWidth="1"/>
    <col min="3" max="33" width="4.7109375" customWidth="1"/>
    <col min="34" max="34" width="5.85546875" bestFit="1" customWidth="1"/>
    <col min="35" max="35" width="4.7109375" bestFit="1" customWidth="1"/>
    <col min="36" max="36" width="4.5703125" bestFit="1" customWidth="1"/>
    <col min="37" max="37" width="6" bestFit="1" customWidth="1"/>
  </cols>
  <sheetData>
    <row r="1" spans="1:37" x14ac:dyDescent="0.25">
      <c r="A1" s="6"/>
      <c r="B1" s="6"/>
      <c r="C1" s="5" t="s">
        <v>9</v>
      </c>
      <c r="D1" s="5" t="s">
        <v>0</v>
      </c>
      <c r="E1" s="5" t="s">
        <v>1</v>
      </c>
      <c r="F1" s="5" t="s">
        <v>10</v>
      </c>
      <c r="G1" s="5" t="s">
        <v>11</v>
      </c>
    </row>
    <row r="2" spans="1:37" x14ac:dyDescent="0.25">
      <c r="A2" s="6"/>
      <c r="B2" s="6"/>
      <c r="C2" s="5" t="s">
        <v>12</v>
      </c>
      <c r="D2" s="5" t="s">
        <v>6</v>
      </c>
      <c r="E2" s="5" t="s">
        <v>7</v>
      </c>
      <c r="F2" s="5" t="s">
        <v>8</v>
      </c>
      <c r="G2" s="5" t="s">
        <v>2</v>
      </c>
    </row>
    <row r="4" spans="1:37" ht="65.099999999999994" customHeight="1" x14ac:dyDescent="0.25">
      <c r="A4" s="2" t="s">
        <v>2</v>
      </c>
      <c r="B4" s="2" t="s">
        <v>3</v>
      </c>
      <c r="C4" s="1" t="str">
        <f>CHOOSE(WEEKDAY(C5), "الأحد","الاثنين","الثلاثاء","الأربعاء","الخميس","الجمعة","السبت")</f>
        <v>الخميس</v>
      </c>
      <c r="D4" s="1" t="str">
        <f t="shared" ref="D4:AG4" si="0">CHOOSE(WEEKDAY(D5), "الأحد","الاثنين","الثلاثاء","الأربعاء","الخميس","الجمعة","السبت")</f>
        <v>الجمعة</v>
      </c>
      <c r="E4" s="1" t="str">
        <f t="shared" si="0"/>
        <v>السبت</v>
      </c>
      <c r="F4" s="1" t="str">
        <f t="shared" si="0"/>
        <v>الأحد</v>
      </c>
      <c r="G4" s="1" t="str">
        <f t="shared" si="0"/>
        <v>الاثنين</v>
      </c>
      <c r="H4" s="1" t="str">
        <f t="shared" si="0"/>
        <v>الثلاثاء</v>
      </c>
      <c r="I4" s="1" t="str">
        <f t="shared" si="0"/>
        <v>الأربعاء</v>
      </c>
      <c r="J4" s="1" t="str">
        <f t="shared" si="0"/>
        <v>الخميس</v>
      </c>
      <c r="K4" s="1" t="str">
        <f t="shared" si="0"/>
        <v>الجمعة</v>
      </c>
      <c r="L4" s="1" t="str">
        <f t="shared" si="0"/>
        <v>السبت</v>
      </c>
      <c r="M4" s="1" t="str">
        <f t="shared" si="0"/>
        <v>الأحد</v>
      </c>
      <c r="N4" s="1" t="str">
        <f t="shared" si="0"/>
        <v>الاثنين</v>
      </c>
      <c r="O4" s="1" t="str">
        <f t="shared" si="0"/>
        <v>الثلاثاء</v>
      </c>
      <c r="P4" s="1" t="str">
        <f t="shared" si="0"/>
        <v>الأربعاء</v>
      </c>
      <c r="Q4" s="1" t="str">
        <f t="shared" si="0"/>
        <v>الخميس</v>
      </c>
      <c r="R4" s="1" t="str">
        <f t="shared" si="0"/>
        <v>الجمعة</v>
      </c>
      <c r="S4" s="1" t="str">
        <f t="shared" si="0"/>
        <v>السبت</v>
      </c>
      <c r="T4" s="1" t="str">
        <f t="shared" si="0"/>
        <v>الأحد</v>
      </c>
      <c r="U4" s="1" t="str">
        <f t="shared" si="0"/>
        <v>الاثنين</v>
      </c>
      <c r="V4" s="1" t="str">
        <f t="shared" si="0"/>
        <v>الثلاثاء</v>
      </c>
      <c r="W4" s="1" t="str">
        <f t="shared" si="0"/>
        <v>الأربعاء</v>
      </c>
      <c r="X4" s="1" t="str">
        <f t="shared" si="0"/>
        <v>الخميس</v>
      </c>
      <c r="Y4" s="1" t="str">
        <f t="shared" si="0"/>
        <v>الجمعة</v>
      </c>
      <c r="Z4" s="1" t="str">
        <f t="shared" si="0"/>
        <v>السبت</v>
      </c>
      <c r="AA4" s="1" t="str">
        <f t="shared" si="0"/>
        <v>الأحد</v>
      </c>
      <c r="AB4" s="1" t="str">
        <f t="shared" si="0"/>
        <v>الاثنين</v>
      </c>
      <c r="AC4" s="1" t="str">
        <f t="shared" si="0"/>
        <v>الثلاثاء</v>
      </c>
      <c r="AD4" s="1" t="str">
        <f t="shared" si="0"/>
        <v>الأربعاء</v>
      </c>
      <c r="AE4" s="1" t="str">
        <f t="shared" si="0"/>
        <v>الخميس</v>
      </c>
      <c r="AF4" s="1" t="str">
        <f t="shared" si="0"/>
        <v>الجمعة</v>
      </c>
      <c r="AG4" s="1" t="str">
        <f t="shared" si="0"/>
        <v>السبت</v>
      </c>
      <c r="AH4" s="9" t="s">
        <v>0</v>
      </c>
      <c r="AI4" s="9" t="s">
        <v>1</v>
      </c>
      <c r="AJ4" s="9" t="s">
        <v>10</v>
      </c>
      <c r="AK4" s="9" t="s">
        <v>11</v>
      </c>
    </row>
    <row r="5" spans="1:37" x14ac:dyDescent="0.25">
      <c r="A5" s="2"/>
      <c r="B5" s="2"/>
      <c r="C5" s="3" cm="1">
        <f t="array" ref="C5:AG5">_xlfn.SEQUENCE(1, DAY(EOMONTH(DATE(2026,1,1),0)), DATE(2026,1,1))</f>
        <v>46023</v>
      </c>
      <c r="D5" s="3">
        <v>46024</v>
      </c>
      <c r="E5" s="3">
        <v>46025</v>
      </c>
      <c r="F5" s="3">
        <v>46026</v>
      </c>
      <c r="G5" s="3">
        <v>46027</v>
      </c>
      <c r="H5" s="3">
        <v>46028</v>
      </c>
      <c r="I5" s="3">
        <v>46029</v>
      </c>
      <c r="J5" s="3">
        <v>46030</v>
      </c>
      <c r="K5" s="3">
        <v>46031</v>
      </c>
      <c r="L5" s="3">
        <v>46032</v>
      </c>
      <c r="M5" s="3">
        <v>46033</v>
      </c>
      <c r="N5" s="3">
        <v>46034</v>
      </c>
      <c r="O5" s="3">
        <v>46035</v>
      </c>
      <c r="P5" s="3">
        <v>46036</v>
      </c>
      <c r="Q5" s="3">
        <v>46037</v>
      </c>
      <c r="R5" s="3">
        <v>46038</v>
      </c>
      <c r="S5" s="3">
        <v>46039</v>
      </c>
      <c r="T5" s="3">
        <v>46040</v>
      </c>
      <c r="U5" s="3">
        <v>46041</v>
      </c>
      <c r="V5" s="3">
        <v>46042</v>
      </c>
      <c r="W5" s="3">
        <v>46043</v>
      </c>
      <c r="X5" s="3">
        <v>46044</v>
      </c>
      <c r="Y5" s="3">
        <v>46045</v>
      </c>
      <c r="Z5" s="3">
        <v>46046</v>
      </c>
      <c r="AA5" s="3">
        <v>46047</v>
      </c>
      <c r="AB5" s="3">
        <v>46048</v>
      </c>
      <c r="AC5" s="3">
        <v>46049</v>
      </c>
      <c r="AD5" s="3">
        <v>46050</v>
      </c>
      <c r="AE5" s="3">
        <v>46051</v>
      </c>
      <c r="AF5" s="3">
        <v>46052</v>
      </c>
      <c r="AG5" s="3">
        <v>46053</v>
      </c>
      <c r="AH5" s="4"/>
      <c r="AI5" s="4"/>
      <c r="AJ5" s="4"/>
      <c r="AK5" s="4"/>
    </row>
    <row r="6" spans="1:37" x14ac:dyDescent="0.25">
      <c r="A6" s="2">
        <v>1</v>
      </c>
      <c r="B6" s="2">
        <f>Annual_Report!B2</f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4">
        <f t="shared" ref="AH6:AH37" si="1">COUNTIF($C6:$AG6, "ح")</f>
        <v>0</v>
      </c>
      <c r="AI6" s="4">
        <f t="shared" ref="AI6:AI37" si="2">COUNTIF($C6:$AG6, "غ")</f>
        <v>0</v>
      </c>
      <c r="AJ6" s="4">
        <f t="shared" ref="AJ6:AJ37" si="3">COUNTIF($C6:$AG6, "ج")</f>
        <v>0</v>
      </c>
      <c r="AK6" s="4">
        <f t="shared" ref="AK6:AK37" si="4">COUNTIF($C6:$AG6, "م")</f>
        <v>0</v>
      </c>
    </row>
    <row r="7" spans="1:37" x14ac:dyDescent="0.25">
      <c r="A7" s="2">
        <v>2</v>
      </c>
      <c r="B7" s="2">
        <f>Annual_Report!B3</f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4">
        <f t="shared" si="1"/>
        <v>0</v>
      </c>
      <c r="AI7" s="4">
        <f t="shared" si="2"/>
        <v>0</v>
      </c>
      <c r="AJ7" s="4">
        <f t="shared" si="3"/>
        <v>0</v>
      </c>
      <c r="AK7" s="4">
        <f t="shared" si="4"/>
        <v>0</v>
      </c>
    </row>
    <row r="8" spans="1:37" x14ac:dyDescent="0.25">
      <c r="A8" s="2">
        <v>3</v>
      </c>
      <c r="B8" s="2">
        <f>Annual_Report!B4</f>
        <v>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4">
        <f t="shared" si="1"/>
        <v>0</v>
      </c>
      <c r="AI8" s="4">
        <f t="shared" si="2"/>
        <v>0</v>
      </c>
      <c r="AJ8" s="4">
        <f t="shared" si="3"/>
        <v>0</v>
      </c>
      <c r="AK8" s="4">
        <f t="shared" si="4"/>
        <v>0</v>
      </c>
    </row>
    <row r="9" spans="1:37" x14ac:dyDescent="0.25">
      <c r="A9" s="2">
        <v>4</v>
      </c>
      <c r="B9" s="2">
        <f>Annual_Report!B5</f>
        <v>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4">
        <f t="shared" si="1"/>
        <v>0</v>
      </c>
      <c r="AI9" s="4">
        <f t="shared" si="2"/>
        <v>0</v>
      </c>
      <c r="AJ9" s="4">
        <f t="shared" si="3"/>
        <v>0</v>
      </c>
      <c r="AK9" s="4">
        <f t="shared" si="4"/>
        <v>0</v>
      </c>
    </row>
    <row r="10" spans="1:37" x14ac:dyDescent="0.25">
      <c r="A10" s="2">
        <v>5</v>
      </c>
      <c r="B10" s="2">
        <f>Annual_Report!B6</f>
        <v>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4">
        <f t="shared" si="1"/>
        <v>0</v>
      </c>
      <c r="AI10" s="4">
        <f t="shared" si="2"/>
        <v>0</v>
      </c>
      <c r="AJ10" s="4">
        <f t="shared" si="3"/>
        <v>0</v>
      </c>
      <c r="AK10" s="4">
        <f t="shared" si="4"/>
        <v>0</v>
      </c>
    </row>
    <row r="11" spans="1:37" x14ac:dyDescent="0.25">
      <c r="A11" s="2">
        <v>6</v>
      </c>
      <c r="B11" s="2">
        <f>Annual_Report!B7</f>
        <v>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4">
        <f t="shared" si="1"/>
        <v>0</v>
      </c>
      <c r="AI11" s="4">
        <f t="shared" si="2"/>
        <v>0</v>
      </c>
      <c r="AJ11" s="4">
        <f t="shared" si="3"/>
        <v>0</v>
      </c>
      <c r="AK11" s="4">
        <f t="shared" si="4"/>
        <v>0</v>
      </c>
    </row>
    <row r="12" spans="1:37" x14ac:dyDescent="0.25">
      <c r="A12" s="2">
        <v>7</v>
      </c>
      <c r="B12" s="2">
        <f>Annual_Report!B8</f>
        <v>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4">
        <f t="shared" si="1"/>
        <v>0</v>
      </c>
      <c r="AI12" s="4">
        <f t="shared" si="2"/>
        <v>0</v>
      </c>
      <c r="AJ12" s="4">
        <f t="shared" si="3"/>
        <v>0</v>
      </c>
      <c r="AK12" s="4">
        <f t="shared" si="4"/>
        <v>0</v>
      </c>
    </row>
    <row r="13" spans="1:37" x14ac:dyDescent="0.25">
      <c r="A13" s="2">
        <v>8</v>
      </c>
      <c r="B13" s="2">
        <f>Annual_Report!B9</f>
        <v>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4">
        <f t="shared" si="1"/>
        <v>0</v>
      </c>
      <c r="AI13" s="4">
        <f t="shared" si="2"/>
        <v>0</v>
      </c>
      <c r="AJ13" s="4">
        <f t="shared" si="3"/>
        <v>0</v>
      </c>
      <c r="AK13" s="4">
        <f t="shared" si="4"/>
        <v>0</v>
      </c>
    </row>
    <row r="14" spans="1:37" x14ac:dyDescent="0.25">
      <c r="A14" s="2">
        <v>9</v>
      </c>
      <c r="B14" s="2">
        <f>Annual_Report!B10</f>
        <v>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4">
        <f t="shared" si="1"/>
        <v>0</v>
      </c>
      <c r="AI14" s="4">
        <f t="shared" si="2"/>
        <v>0</v>
      </c>
      <c r="AJ14" s="4">
        <f t="shared" si="3"/>
        <v>0</v>
      </c>
      <c r="AK14" s="4">
        <f t="shared" si="4"/>
        <v>0</v>
      </c>
    </row>
    <row r="15" spans="1:37" x14ac:dyDescent="0.25">
      <c r="A15" s="2">
        <v>10</v>
      </c>
      <c r="B15" s="2">
        <f>Annual_Report!B11</f>
        <v>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4">
        <f t="shared" si="1"/>
        <v>0</v>
      </c>
      <c r="AI15" s="4">
        <f t="shared" si="2"/>
        <v>0</v>
      </c>
      <c r="AJ15" s="4">
        <f t="shared" si="3"/>
        <v>0</v>
      </c>
      <c r="AK15" s="4">
        <f t="shared" si="4"/>
        <v>0</v>
      </c>
    </row>
    <row r="16" spans="1:37" x14ac:dyDescent="0.25">
      <c r="A16" s="2">
        <v>11</v>
      </c>
      <c r="B16" s="2">
        <f>Annual_Report!B12</f>
        <v>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4">
        <f t="shared" si="1"/>
        <v>0</v>
      </c>
      <c r="AI16" s="4">
        <f t="shared" si="2"/>
        <v>0</v>
      </c>
      <c r="AJ16" s="4">
        <f t="shared" si="3"/>
        <v>0</v>
      </c>
      <c r="AK16" s="4">
        <f t="shared" si="4"/>
        <v>0</v>
      </c>
    </row>
    <row r="17" spans="1:37" x14ac:dyDescent="0.25">
      <c r="A17" s="2">
        <v>12</v>
      </c>
      <c r="B17" s="2">
        <f>Annual_Report!B13</f>
        <v>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4">
        <f t="shared" si="1"/>
        <v>0</v>
      </c>
      <c r="AI17" s="4">
        <f t="shared" si="2"/>
        <v>0</v>
      </c>
      <c r="AJ17" s="4">
        <f t="shared" si="3"/>
        <v>0</v>
      </c>
      <c r="AK17" s="4">
        <f t="shared" si="4"/>
        <v>0</v>
      </c>
    </row>
    <row r="18" spans="1:37" x14ac:dyDescent="0.25">
      <c r="A18" s="2">
        <v>13</v>
      </c>
      <c r="B18" s="2">
        <f>Annual_Report!B14</f>
        <v>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4">
        <f t="shared" si="1"/>
        <v>0</v>
      </c>
      <c r="AI18" s="4">
        <f t="shared" si="2"/>
        <v>0</v>
      </c>
      <c r="AJ18" s="4">
        <f t="shared" si="3"/>
        <v>0</v>
      </c>
      <c r="AK18" s="4">
        <f t="shared" si="4"/>
        <v>0</v>
      </c>
    </row>
    <row r="19" spans="1:37" x14ac:dyDescent="0.25">
      <c r="A19" s="2">
        <v>14</v>
      </c>
      <c r="B19" s="2">
        <f>Annual_Report!B15</f>
        <v>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4">
        <f t="shared" si="1"/>
        <v>0</v>
      </c>
      <c r="AI19" s="4">
        <f t="shared" si="2"/>
        <v>0</v>
      </c>
      <c r="AJ19" s="4">
        <f t="shared" si="3"/>
        <v>0</v>
      </c>
      <c r="AK19" s="4">
        <f t="shared" si="4"/>
        <v>0</v>
      </c>
    </row>
    <row r="20" spans="1:37" x14ac:dyDescent="0.25">
      <c r="A20" s="2">
        <v>15</v>
      </c>
      <c r="B20" s="2">
        <f>Annual_Report!B16</f>
        <v>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4">
        <f t="shared" si="1"/>
        <v>0</v>
      </c>
      <c r="AI20" s="4">
        <f t="shared" si="2"/>
        <v>0</v>
      </c>
      <c r="AJ20" s="4">
        <f t="shared" si="3"/>
        <v>0</v>
      </c>
      <c r="AK20" s="4">
        <f t="shared" si="4"/>
        <v>0</v>
      </c>
    </row>
    <row r="21" spans="1:37" x14ac:dyDescent="0.25">
      <c r="A21" s="2">
        <v>16</v>
      </c>
      <c r="B21" s="2">
        <f>Annual_Report!B17</f>
        <v>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4">
        <f t="shared" si="1"/>
        <v>0</v>
      </c>
      <c r="AI21" s="4">
        <f t="shared" si="2"/>
        <v>0</v>
      </c>
      <c r="AJ21" s="4">
        <f t="shared" si="3"/>
        <v>0</v>
      </c>
      <c r="AK21" s="4">
        <f t="shared" si="4"/>
        <v>0</v>
      </c>
    </row>
    <row r="22" spans="1:37" x14ac:dyDescent="0.25">
      <c r="A22" s="2">
        <v>17</v>
      </c>
      <c r="B22" s="2">
        <f>Annual_Report!B18</f>
        <v>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4">
        <f t="shared" si="1"/>
        <v>0</v>
      </c>
      <c r="AI22" s="4">
        <f t="shared" si="2"/>
        <v>0</v>
      </c>
      <c r="AJ22" s="4">
        <f t="shared" si="3"/>
        <v>0</v>
      </c>
      <c r="AK22" s="4">
        <f t="shared" si="4"/>
        <v>0</v>
      </c>
    </row>
    <row r="23" spans="1:37" x14ac:dyDescent="0.25">
      <c r="A23" s="2">
        <v>18</v>
      </c>
      <c r="B23" s="2">
        <f>Annual_Report!B19</f>
        <v>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4">
        <f t="shared" si="1"/>
        <v>0</v>
      </c>
      <c r="AI23" s="4">
        <f t="shared" si="2"/>
        <v>0</v>
      </c>
      <c r="AJ23" s="4">
        <f t="shared" si="3"/>
        <v>0</v>
      </c>
      <c r="AK23" s="4">
        <f t="shared" si="4"/>
        <v>0</v>
      </c>
    </row>
    <row r="24" spans="1:37" x14ac:dyDescent="0.25">
      <c r="A24" s="2">
        <v>19</v>
      </c>
      <c r="B24" s="2">
        <f>Annual_Report!B20</f>
        <v>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4">
        <f t="shared" si="1"/>
        <v>0</v>
      </c>
      <c r="AI24" s="4">
        <f t="shared" si="2"/>
        <v>0</v>
      </c>
      <c r="AJ24" s="4">
        <f t="shared" si="3"/>
        <v>0</v>
      </c>
      <c r="AK24" s="4">
        <f t="shared" si="4"/>
        <v>0</v>
      </c>
    </row>
    <row r="25" spans="1:37" x14ac:dyDescent="0.25">
      <c r="A25" s="2">
        <v>20</v>
      </c>
      <c r="B25" s="2">
        <f>Annual_Report!B21</f>
        <v>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4">
        <f t="shared" si="1"/>
        <v>0</v>
      </c>
      <c r="AI25" s="4">
        <f t="shared" si="2"/>
        <v>0</v>
      </c>
      <c r="AJ25" s="4">
        <f t="shared" si="3"/>
        <v>0</v>
      </c>
      <c r="AK25" s="4">
        <f t="shared" si="4"/>
        <v>0</v>
      </c>
    </row>
    <row r="26" spans="1:37" x14ac:dyDescent="0.25">
      <c r="A26" s="2">
        <v>21</v>
      </c>
      <c r="B26" s="2">
        <f>Annual_Report!B22</f>
        <v>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4">
        <f t="shared" si="1"/>
        <v>0</v>
      </c>
      <c r="AI26" s="4">
        <f t="shared" si="2"/>
        <v>0</v>
      </c>
      <c r="AJ26" s="4">
        <f t="shared" si="3"/>
        <v>0</v>
      </c>
      <c r="AK26" s="4">
        <f t="shared" si="4"/>
        <v>0</v>
      </c>
    </row>
    <row r="27" spans="1:37" x14ac:dyDescent="0.25">
      <c r="A27" s="2">
        <v>22</v>
      </c>
      <c r="B27" s="2">
        <f>Annual_Report!B23</f>
        <v>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4">
        <f t="shared" si="1"/>
        <v>0</v>
      </c>
      <c r="AI27" s="4">
        <f t="shared" si="2"/>
        <v>0</v>
      </c>
      <c r="AJ27" s="4">
        <f t="shared" si="3"/>
        <v>0</v>
      </c>
      <c r="AK27" s="4">
        <f t="shared" si="4"/>
        <v>0</v>
      </c>
    </row>
    <row r="28" spans="1:37" x14ac:dyDescent="0.25">
      <c r="A28" s="2">
        <v>23</v>
      </c>
      <c r="B28" s="2">
        <f>Annual_Report!B24</f>
        <v>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4">
        <f t="shared" si="1"/>
        <v>0</v>
      </c>
      <c r="AI28" s="4">
        <f t="shared" si="2"/>
        <v>0</v>
      </c>
      <c r="AJ28" s="4">
        <f t="shared" si="3"/>
        <v>0</v>
      </c>
      <c r="AK28" s="4">
        <f t="shared" si="4"/>
        <v>0</v>
      </c>
    </row>
    <row r="29" spans="1:37" x14ac:dyDescent="0.25">
      <c r="A29" s="2">
        <v>24</v>
      </c>
      <c r="B29" s="2">
        <f>Annual_Report!B25</f>
        <v>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4">
        <f t="shared" si="1"/>
        <v>0</v>
      </c>
      <c r="AI29" s="4">
        <f t="shared" si="2"/>
        <v>0</v>
      </c>
      <c r="AJ29" s="4">
        <f t="shared" si="3"/>
        <v>0</v>
      </c>
      <c r="AK29" s="4">
        <f t="shared" si="4"/>
        <v>0</v>
      </c>
    </row>
    <row r="30" spans="1:37" x14ac:dyDescent="0.25">
      <c r="A30" s="2">
        <v>25</v>
      </c>
      <c r="B30" s="2">
        <f>Annual_Report!B26</f>
        <v>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4">
        <f t="shared" si="1"/>
        <v>0</v>
      </c>
      <c r="AI30" s="4">
        <f t="shared" si="2"/>
        <v>0</v>
      </c>
      <c r="AJ30" s="4">
        <f t="shared" si="3"/>
        <v>0</v>
      </c>
      <c r="AK30" s="4">
        <f t="shared" si="4"/>
        <v>0</v>
      </c>
    </row>
    <row r="31" spans="1:37" x14ac:dyDescent="0.25">
      <c r="A31" s="2">
        <v>26</v>
      </c>
      <c r="B31" s="2">
        <f>Annual_Report!B27</f>
        <v>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4">
        <f t="shared" si="1"/>
        <v>0</v>
      </c>
      <c r="AI31" s="4">
        <f t="shared" si="2"/>
        <v>0</v>
      </c>
      <c r="AJ31" s="4">
        <f t="shared" si="3"/>
        <v>0</v>
      </c>
      <c r="AK31" s="4">
        <f t="shared" si="4"/>
        <v>0</v>
      </c>
    </row>
    <row r="32" spans="1:37" x14ac:dyDescent="0.25">
      <c r="A32" s="2">
        <v>27</v>
      </c>
      <c r="B32" s="2">
        <f>Annual_Report!B28</f>
        <v>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4">
        <f t="shared" si="1"/>
        <v>0</v>
      </c>
      <c r="AI32" s="4">
        <f t="shared" si="2"/>
        <v>0</v>
      </c>
      <c r="AJ32" s="4">
        <f t="shared" si="3"/>
        <v>0</v>
      </c>
      <c r="AK32" s="4">
        <f t="shared" si="4"/>
        <v>0</v>
      </c>
    </row>
    <row r="33" spans="1:37" x14ac:dyDescent="0.25">
      <c r="A33" s="2">
        <v>28</v>
      </c>
      <c r="B33" s="2">
        <f>Annual_Report!B29</f>
        <v>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4">
        <f t="shared" si="1"/>
        <v>0</v>
      </c>
      <c r="AI33" s="4">
        <f t="shared" si="2"/>
        <v>0</v>
      </c>
      <c r="AJ33" s="4">
        <f t="shared" si="3"/>
        <v>0</v>
      </c>
      <c r="AK33" s="4">
        <f t="shared" si="4"/>
        <v>0</v>
      </c>
    </row>
    <row r="34" spans="1:37" x14ac:dyDescent="0.25">
      <c r="A34" s="2">
        <v>29</v>
      </c>
      <c r="B34" s="2">
        <f>Annual_Report!B30</f>
        <v>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4">
        <f t="shared" si="1"/>
        <v>0</v>
      </c>
      <c r="AI34" s="4">
        <f t="shared" si="2"/>
        <v>0</v>
      </c>
      <c r="AJ34" s="4">
        <f t="shared" si="3"/>
        <v>0</v>
      </c>
      <c r="AK34" s="4">
        <f t="shared" si="4"/>
        <v>0</v>
      </c>
    </row>
    <row r="35" spans="1:37" x14ac:dyDescent="0.25">
      <c r="A35" s="2">
        <v>30</v>
      </c>
      <c r="B35" s="2">
        <f>Annual_Report!B31</f>
        <v>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4">
        <f t="shared" si="1"/>
        <v>0</v>
      </c>
      <c r="AI35" s="4">
        <f t="shared" si="2"/>
        <v>0</v>
      </c>
      <c r="AJ35" s="4">
        <f t="shared" si="3"/>
        <v>0</v>
      </c>
      <c r="AK35" s="4">
        <f t="shared" si="4"/>
        <v>0</v>
      </c>
    </row>
    <row r="36" spans="1:37" x14ac:dyDescent="0.25">
      <c r="A36" s="2">
        <v>31</v>
      </c>
      <c r="B36" s="2">
        <f>Annual_Report!B32</f>
        <v>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4">
        <f t="shared" si="1"/>
        <v>0</v>
      </c>
      <c r="AI36" s="4">
        <f t="shared" si="2"/>
        <v>0</v>
      </c>
      <c r="AJ36" s="4">
        <f t="shared" si="3"/>
        <v>0</v>
      </c>
      <c r="AK36" s="4">
        <f t="shared" si="4"/>
        <v>0</v>
      </c>
    </row>
    <row r="37" spans="1:37" x14ac:dyDescent="0.25">
      <c r="A37" s="2">
        <v>32</v>
      </c>
      <c r="B37" s="2">
        <f>Annual_Report!B33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4">
        <f t="shared" si="1"/>
        <v>0</v>
      </c>
      <c r="AI37" s="4">
        <f t="shared" si="2"/>
        <v>0</v>
      </c>
      <c r="AJ37" s="4">
        <f t="shared" si="3"/>
        <v>0</v>
      </c>
      <c r="AK37" s="4">
        <f t="shared" si="4"/>
        <v>0</v>
      </c>
    </row>
    <row r="38" spans="1:37" x14ac:dyDescent="0.25">
      <c r="A38" s="2">
        <v>33</v>
      </c>
      <c r="B38" s="2">
        <f>Annual_Report!B34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4">
        <f t="shared" ref="AH38:AH69" si="5">COUNTIF($C38:$AG38, "ح")</f>
        <v>0</v>
      </c>
      <c r="AI38" s="4">
        <f t="shared" ref="AI38:AI69" si="6">COUNTIF($C38:$AG38, "غ")</f>
        <v>0</v>
      </c>
      <c r="AJ38" s="4">
        <f t="shared" ref="AJ38:AJ69" si="7">COUNTIF($C38:$AG38, "ج")</f>
        <v>0</v>
      </c>
      <c r="AK38" s="4">
        <f t="shared" ref="AK38:AK69" si="8">COUNTIF($C38:$AG38, "م")</f>
        <v>0</v>
      </c>
    </row>
    <row r="39" spans="1:37" x14ac:dyDescent="0.25">
      <c r="A39" s="2">
        <v>34</v>
      </c>
      <c r="B39" s="2">
        <f>Annual_Report!B35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4">
        <f t="shared" si="5"/>
        <v>0</v>
      </c>
      <c r="AI39" s="4">
        <f t="shared" si="6"/>
        <v>0</v>
      </c>
      <c r="AJ39" s="4">
        <f t="shared" si="7"/>
        <v>0</v>
      </c>
      <c r="AK39" s="4">
        <f t="shared" si="8"/>
        <v>0</v>
      </c>
    </row>
    <row r="40" spans="1:37" x14ac:dyDescent="0.25">
      <c r="A40" s="2">
        <v>35</v>
      </c>
      <c r="B40" s="2">
        <f>Annual_Report!B36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4">
        <f t="shared" si="5"/>
        <v>0</v>
      </c>
      <c r="AI40" s="4">
        <f t="shared" si="6"/>
        <v>0</v>
      </c>
      <c r="AJ40" s="4">
        <f t="shared" si="7"/>
        <v>0</v>
      </c>
      <c r="AK40" s="4">
        <f t="shared" si="8"/>
        <v>0</v>
      </c>
    </row>
    <row r="41" spans="1:37" x14ac:dyDescent="0.25">
      <c r="A41" s="2">
        <v>36</v>
      </c>
      <c r="B41" s="2">
        <f>Annual_Report!B37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4">
        <f t="shared" si="5"/>
        <v>0</v>
      </c>
      <c r="AI41" s="4">
        <f t="shared" si="6"/>
        <v>0</v>
      </c>
      <c r="AJ41" s="4">
        <f t="shared" si="7"/>
        <v>0</v>
      </c>
      <c r="AK41" s="4">
        <f t="shared" si="8"/>
        <v>0</v>
      </c>
    </row>
    <row r="42" spans="1:37" x14ac:dyDescent="0.25">
      <c r="A42" s="2">
        <v>37</v>
      </c>
      <c r="B42" s="2">
        <f>Annual_Report!B38</f>
        <v>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4">
        <f t="shared" si="5"/>
        <v>0</v>
      </c>
      <c r="AI42" s="4">
        <f t="shared" si="6"/>
        <v>0</v>
      </c>
      <c r="AJ42" s="4">
        <f t="shared" si="7"/>
        <v>0</v>
      </c>
      <c r="AK42" s="4">
        <f t="shared" si="8"/>
        <v>0</v>
      </c>
    </row>
    <row r="43" spans="1:37" x14ac:dyDescent="0.25">
      <c r="A43" s="2">
        <v>38</v>
      </c>
      <c r="B43" s="2">
        <f>Annual_Report!B39</f>
        <v>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4">
        <f t="shared" si="5"/>
        <v>0</v>
      </c>
      <c r="AI43" s="4">
        <f t="shared" si="6"/>
        <v>0</v>
      </c>
      <c r="AJ43" s="4">
        <f t="shared" si="7"/>
        <v>0</v>
      </c>
      <c r="AK43" s="4">
        <f t="shared" si="8"/>
        <v>0</v>
      </c>
    </row>
    <row r="44" spans="1:37" x14ac:dyDescent="0.25">
      <c r="A44" s="2">
        <v>39</v>
      </c>
      <c r="B44" s="2">
        <f>Annual_Report!B40</f>
        <v>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4">
        <f t="shared" si="5"/>
        <v>0</v>
      </c>
      <c r="AI44" s="4">
        <f t="shared" si="6"/>
        <v>0</v>
      </c>
      <c r="AJ44" s="4">
        <f t="shared" si="7"/>
        <v>0</v>
      </c>
      <c r="AK44" s="4">
        <f t="shared" si="8"/>
        <v>0</v>
      </c>
    </row>
    <row r="45" spans="1:37" x14ac:dyDescent="0.25">
      <c r="A45" s="2">
        <v>40</v>
      </c>
      <c r="B45" s="2">
        <f>Annual_Report!B41</f>
        <v>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4">
        <f t="shared" si="5"/>
        <v>0</v>
      </c>
      <c r="AI45" s="4">
        <f t="shared" si="6"/>
        <v>0</v>
      </c>
      <c r="AJ45" s="4">
        <f t="shared" si="7"/>
        <v>0</v>
      </c>
      <c r="AK45" s="4">
        <f t="shared" si="8"/>
        <v>0</v>
      </c>
    </row>
    <row r="46" spans="1:37" x14ac:dyDescent="0.25">
      <c r="A46" s="2">
        <v>41</v>
      </c>
      <c r="B46" s="2">
        <f>Annual_Report!B42</f>
        <v>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4">
        <f t="shared" si="5"/>
        <v>0</v>
      </c>
      <c r="AI46" s="4">
        <f t="shared" si="6"/>
        <v>0</v>
      </c>
      <c r="AJ46" s="4">
        <f t="shared" si="7"/>
        <v>0</v>
      </c>
      <c r="AK46" s="4">
        <f t="shared" si="8"/>
        <v>0</v>
      </c>
    </row>
    <row r="47" spans="1:37" x14ac:dyDescent="0.25">
      <c r="A47" s="2">
        <v>42</v>
      </c>
      <c r="B47" s="2">
        <f>Annual_Report!B43</f>
        <v>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4">
        <f t="shared" si="5"/>
        <v>0</v>
      </c>
      <c r="AI47" s="4">
        <f t="shared" si="6"/>
        <v>0</v>
      </c>
      <c r="AJ47" s="4">
        <f t="shared" si="7"/>
        <v>0</v>
      </c>
      <c r="AK47" s="4">
        <f t="shared" si="8"/>
        <v>0</v>
      </c>
    </row>
    <row r="48" spans="1:37" x14ac:dyDescent="0.25">
      <c r="A48" s="2">
        <v>43</v>
      </c>
      <c r="B48" s="2">
        <f>Annual_Report!B44</f>
        <v>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4">
        <f t="shared" si="5"/>
        <v>0</v>
      </c>
      <c r="AI48" s="4">
        <f t="shared" si="6"/>
        <v>0</v>
      </c>
      <c r="AJ48" s="4">
        <f t="shared" si="7"/>
        <v>0</v>
      </c>
      <c r="AK48" s="4">
        <f t="shared" si="8"/>
        <v>0</v>
      </c>
    </row>
    <row r="49" spans="1:37" x14ac:dyDescent="0.25">
      <c r="A49" s="2">
        <v>44</v>
      </c>
      <c r="B49" s="2">
        <f>Annual_Report!B45</f>
        <v>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4">
        <f t="shared" si="5"/>
        <v>0</v>
      </c>
      <c r="AI49" s="4">
        <f t="shared" si="6"/>
        <v>0</v>
      </c>
      <c r="AJ49" s="4">
        <f t="shared" si="7"/>
        <v>0</v>
      </c>
      <c r="AK49" s="4">
        <f t="shared" si="8"/>
        <v>0</v>
      </c>
    </row>
    <row r="50" spans="1:37" x14ac:dyDescent="0.25">
      <c r="A50" s="2">
        <v>45</v>
      </c>
      <c r="B50" s="2">
        <f>Annual_Report!B46</f>
        <v>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4">
        <f t="shared" si="5"/>
        <v>0</v>
      </c>
      <c r="AI50" s="4">
        <f t="shared" si="6"/>
        <v>0</v>
      </c>
      <c r="AJ50" s="4">
        <f t="shared" si="7"/>
        <v>0</v>
      </c>
      <c r="AK50" s="4">
        <f t="shared" si="8"/>
        <v>0</v>
      </c>
    </row>
    <row r="51" spans="1:37" x14ac:dyDescent="0.25">
      <c r="A51" s="2">
        <v>46</v>
      </c>
      <c r="B51" s="2">
        <f>Annual_Report!B47</f>
        <v>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4">
        <f t="shared" si="5"/>
        <v>0</v>
      </c>
      <c r="AI51" s="4">
        <f t="shared" si="6"/>
        <v>0</v>
      </c>
      <c r="AJ51" s="4">
        <f t="shared" si="7"/>
        <v>0</v>
      </c>
      <c r="AK51" s="4">
        <f t="shared" si="8"/>
        <v>0</v>
      </c>
    </row>
    <row r="52" spans="1:37" x14ac:dyDescent="0.25">
      <c r="A52" s="2">
        <v>47</v>
      </c>
      <c r="B52" s="2">
        <f>Annual_Report!B48</f>
        <v>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4">
        <f t="shared" si="5"/>
        <v>0</v>
      </c>
      <c r="AI52" s="4">
        <f t="shared" si="6"/>
        <v>0</v>
      </c>
      <c r="AJ52" s="4">
        <f t="shared" si="7"/>
        <v>0</v>
      </c>
      <c r="AK52" s="4">
        <f t="shared" si="8"/>
        <v>0</v>
      </c>
    </row>
    <row r="53" spans="1:37" x14ac:dyDescent="0.25">
      <c r="A53" s="2">
        <v>48</v>
      </c>
      <c r="B53" s="2">
        <f>Annual_Report!B49</f>
        <v>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4">
        <f t="shared" si="5"/>
        <v>0</v>
      </c>
      <c r="AI53" s="4">
        <f t="shared" si="6"/>
        <v>0</v>
      </c>
      <c r="AJ53" s="4">
        <f t="shared" si="7"/>
        <v>0</v>
      </c>
      <c r="AK53" s="4">
        <f t="shared" si="8"/>
        <v>0</v>
      </c>
    </row>
    <row r="54" spans="1:37" x14ac:dyDescent="0.25">
      <c r="A54" s="2">
        <v>49</v>
      </c>
      <c r="B54" s="2">
        <f>Annual_Report!B50</f>
        <v>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4">
        <f t="shared" si="5"/>
        <v>0</v>
      </c>
      <c r="AI54" s="4">
        <f t="shared" si="6"/>
        <v>0</v>
      </c>
      <c r="AJ54" s="4">
        <f t="shared" si="7"/>
        <v>0</v>
      </c>
      <c r="AK54" s="4">
        <f t="shared" si="8"/>
        <v>0</v>
      </c>
    </row>
    <row r="55" spans="1:37" x14ac:dyDescent="0.25">
      <c r="A55" s="2">
        <v>50</v>
      </c>
      <c r="B55" s="2">
        <f>Annual_Report!B51</f>
        <v>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4">
        <f t="shared" si="5"/>
        <v>0</v>
      </c>
      <c r="AI55" s="4">
        <f t="shared" si="6"/>
        <v>0</v>
      </c>
      <c r="AJ55" s="4">
        <f t="shared" si="7"/>
        <v>0</v>
      </c>
      <c r="AK55" s="4">
        <f t="shared" si="8"/>
        <v>0</v>
      </c>
    </row>
    <row r="56" spans="1:37" x14ac:dyDescent="0.25">
      <c r="A56" s="2">
        <v>51</v>
      </c>
      <c r="B56" s="2">
        <f>Annual_Report!B52</f>
        <v>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4">
        <f t="shared" si="5"/>
        <v>0</v>
      </c>
      <c r="AI56" s="4">
        <f t="shared" si="6"/>
        <v>0</v>
      </c>
      <c r="AJ56" s="4">
        <f t="shared" si="7"/>
        <v>0</v>
      </c>
      <c r="AK56" s="4">
        <f t="shared" si="8"/>
        <v>0</v>
      </c>
    </row>
    <row r="57" spans="1:37" x14ac:dyDescent="0.25">
      <c r="A57" s="2">
        <v>52</v>
      </c>
      <c r="B57" s="2">
        <f>Annual_Report!B53</f>
        <v>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4">
        <f t="shared" si="5"/>
        <v>0</v>
      </c>
      <c r="AI57" s="4">
        <f t="shared" si="6"/>
        <v>0</v>
      </c>
      <c r="AJ57" s="4">
        <f t="shared" si="7"/>
        <v>0</v>
      </c>
      <c r="AK57" s="4">
        <f t="shared" si="8"/>
        <v>0</v>
      </c>
    </row>
    <row r="58" spans="1:37" x14ac:dyDescent="0.25">
      <c r="A58" s="2">
        <v>53</v>
      </c>
      <c r="B58" s="2">
        <f>Annual_Report!B54</f>
        <v>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4">
        <f t="shared" si="5"/>
        <v>0</v>
      </c>
      <c r="AI58" s="4">
        <f t="shared" si="6"/>
        <v>0</v>
      </c>
      <c r="AJ58" s="4">
        <f t="shared" si="7"/>
        <v>0</v>
      </c>
      <c r="AK58" s="4">
        <f t="shared" si="8"/>
        <v>0</v>
      </c>
    </row>
    <row r="59" spans="1:37" x14ac:dyDescent="0.25">
      <c r="A59" s="2">
        <v>54</v>
      </c>
      <c r="B59" s="2">
        <f>Annual_Report!B55</f>
        <v>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4">
        <f t="shared" si="5"/>
        <v>0</v>
      </c>
      <c r="AI59" s="4">
        <f t="shared" si="6"/>
        <v>0</v>
      </c>
      <c r="AJ59" s="4">
        <f t="shared" si="7"/>
        <v>0</v>
      </c>
      <c r="AK59" s="4">
        <f t="shared" si="8"/>
        <v>0</v>
      </c>
    </row>
    <row r="60" spans="1:37" x14ac:dyDescent="0.25">
      <c r="A60" s="2">
        <v>55</v>
      </c>
      <c r="B60" s="2">
        <f>Annual_Report!B56</f>
        <v>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4">
        <f t="shared" si="5"/>
        <v>0</v>
      </c>
      <c r="AI60" s="4">
        <f t="shared" si="6"/>
        <v>0</v>
      </c>
      <c r="AJ60" s="4">
        <f t="shared" si="7"/>
        <v>0</v>
      </c>
      <c r="AK60" s="4">
        <f t="shared" si="8"/>
        <v>0</v>
      </c>
    </row>
    <row r="61" spans="1:37" x14ac:dyDescent="0.25">
      <c r="A61" s="2">
        <v>56</v>
      </c>
      <c r="B61" s="2">
        <f>Annual_Report!B57</f>
        <v>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4">
        <f t="shared" si="5"/>
        <v>0</v>
      </c>
      <c r="AI61" s="4">
        <f t="shared" si="6"/>
        <v>0</v>
      </c>
      <c r="AJ61" s="4">
        <f t="shared" si="7"/>
        <v>0</v>
      </c>
      <c r="AK61" s="4">
        <f t="shared" si="8"/>
        <v>0</v>
      </c>
    </row>
    <row r="62" spans="1:37" x14ac:dyDescent="0.25">
      <c r="A62" s="2">
        <v>57</v>
      </c>
      <c r="B62" s="2">
        <f>Annual_Report!B58</f>
        <v>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4">
        <f t="shared" si="5"/>
        <v>0</v>
      </c>
      <c r="AI62" s="4">
        <f t="shared" si="6"/>
        <v>0</v>
      </c>
      <c r="AJ62" s="4">
        <f t="shared" si="7"/>
        <v>0</v>
      </c>
      <c r="AK62" s="4">
        <f t="shared" si="8"/>
        <v>0</v>
      </c>
    </row>
    <row r="63" spans="1:37" x14ac:dyDescent="0.25">
      <c r="A63" s="2">
        <v>58</v>
      </c>
      <c r="B63" s="2">
        <f>Annual_Report!B59</f>
        <v>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4">
        <f t="shared" si="5"/>
        <v>0</v>
      </c>
      <c r="AI63" s="4">
        <f t="shared" si="6"/>
        <v>0</v>
      </c>
      <c r="AJ63" s="4">
        <f t="shared" si="7"/>
        <v>0</v>
      </c>
      <c r="AK63" s="4">
        <f t="shared" si="8"/>
        <v>0</v>
      </c>
    </row>
    <row r="64" spans="1:37" x14ac:dyDescent="0.25">
      <c r="A64" s="2">
        <v>59</v>
      </c>
      <c r="B64" s="2">
        <f>Annual_Report!B60</f>
        <v>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4">
        <f t="shared" si="5"/>
        <v>0</v>
      </c>
      <c r="AI64" s="4">
        <f t="shared" si="6"/>
        <v>0</v>
      </c>
      <c r="AJ64" s="4">
        <f t="shared" si="7"/>
        <v>0</v>
      </c>
      <c r="AK64" s="4">
        <f t="shared" si="8"/>
        <v>0</v>
      </c>
    </row>
    <row r="65" spans="1:37" x14ac:dyDescent="0.25">
      <c r="A65" s="2">
        <v>60</v>
      </c>
      <c r="B65" s="2">
        <f>Annual_Report!B61</f>
        <v>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4">
        <f t="shared" si="5"/>
        <v>0</v>
      </c>
      <c r="AI65" s="4">
        <f t="shared" si="6"/>
        <v>0</v>
      </c>
      <c r="AJ65" s="4">
        <f t="shared" si="7"/>
        <v>0</v>
      </c>
      <c r="AK65" s="4">
        <f t="shared" si="8"/>
        <v>0</v>
      </c>
    </row>
    <row r="66" spans="1:37" x14ac:dyDescent="0.25">
      <c r="A66" s="2">
        <v>61</v>
      </c>
      <c r="B66" s="2">
        <f>Annual_Report!B62</f>
        <v>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4">
        <f t="shared" si="5"/>
        <v>0</v>
      </c>
      <c r="AI66" s="4">
        <f t="shared" si="6"/>
        <v>0</v>
      </c>
      <c r="AJ66" s="4">
        <f t="shared" si="7"/>
        <v>0</v>
      </c>
      <c r="AK66" s="4">
        <f t="shared" si="8"/>
        <v>0</v>
      </c>
    </row>
    <row r="67" spans="1:37" x14ac:dyDescent="0.25">
      <c r="A67" s="2">
        <v>62</v>
      </c>
      <c r="B67" s="2">
        <f>Annual_Report!B63</f>
        <v>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4">
        <f t="shared" si="5"/>
        <v>0</v>
      </c>
      <c r="AI67" s="4">
        <f t="shared" si="6"/>
        <v>0</v>
      </c>
      <c r="AJ67" s="4">
        <f t="shared" si="7"/>
        <v>0</v>
      </c>
      <c r="AK67" s="4">
        <f t="shared" si="8"/>
        <v>0</v>
      </c>
    </row>
    <row r="68" spans="1:37" x14ac:dyDescent="0.25">
      <c r="A68" s="2">
        <v>63</v>
      </c>
      <c r="B68" s="2">
        <f>Annual_Report!B64</f>
        <v>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4">
        <f t="shared" si="5"/>
        <v>0</v>
      </c>
      <c r="AI68" s="4">
        <f t="shared" si="6"/>
        <v>0</v>
      </c>
      <c r="AJ68" s="4">
        <f t="shared" si="7"/>
        <v>0</v>
      </c>
      <c r="AK68" s="4">
        <f t="shared" si="8"/>
        <v>0</v>
      </c>
    </row>
    <row r="69" spans="1:37" x14ac:dyDescent="0.25">
      <c r="A69" s="2">
        <v>64</v>
      </c>
      <c r="B69" s="2">
        <f>Annual_Report!B65</f>
        <v>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4">
        <f t="shared" si="5"/>
        <v>0</v>
      </c>
      <c r="AI69" s="4">
        <f t="shared" si="6"/>
        <v>0</v>
      </c>
      <c r="AJ69" s="4">
        <f t="shared" si="7"/>
        <v>0</v>
      </c>
      <c r="AK69" s="4">
        <f t="shared" si="8"/>
        <v>0</v>
      </c>
    </row>
    <row r="70" spans="1:37" x14ac:dyDescent="0.25">
      <c r="A70" s="2">
        <v>65</v>
      </c>
      <c r="B70" s="2">
        <f>Annual_Report!B66</f>
        <v>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4">
        <f t="shared" ref="AH70:AH105" si="9">COUNTIF($C70:$AG70, "ح")</f>
        <v>0</v>
      </c>
      <c r="AI70" s="4">
        <f t="shared" ref="AI70:AI105" si="10">COUNTIF($C70:$AG70, "غ")</f>
        <v>0</v>
      </c>
      <c r="AJ70" s="4">
        <f t="shared" ref="AJ70:AJ105" si="11">COUNTIF($C70:$AG70, "ج")</f>
        <v>0</v>
      </c>
      <c r="AK70" s="4">
        <f t="shared" ref="AK70:AK105" si="12">COUNTIF($C70:$AG70, "م")</f>
        <v>0</v>
      </c>
    </row>
    <row r="71" spans="1:37" x14ac:dyDescent="0.25">
      <c r="A71" s="2">
        <v>66</v>
      </c>
      <c r="B71" s="2">
        <f>Annual_Report!B67</f>
        <v>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4">
        <f t="shared" si="9"/>
        <v>0</v>
      </c>
      <c r="AI71" s="4">
        <f t="shared" si="10"/>
        <v>0</v>
      </c>
      <c r="AJ71" s="4">
        <f t="shared" si="11"/>
        <v>0</v>
      </c>
      <c r="AK71" s="4">
        <f t="shared" si="12"/>
        <v>0</v>
      </c>
    </row>
    <row r="72" spans="1:37" x14ac:dyDescent="0.25">
      <c r="A72" s="2">
        <v>67</v>
      </c>
      <c r="B72" s="2">
        <f>Annual_Report!B68</f>
        <v>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4">
        <f t="shared" si="9"/>
        <v>0</v>
      </c>
      <c r="AI72" s="4">
        <f t="shared" si="10"/>
        <v>0</v>
      </c>
      <c r="AJ72" s="4">
        <f t="shared" si="11"/>
        <v>0</v>
      </c>
      <c r="AK72" s="4">
        <f t="shared" si="12"/>
        <v>0</v>
      </c>
    </row>
    <row r="73" spans="1:37" x14ac:dyDescent="0.25">
      <c r="A73" s="2">
        <v>68</v>
      </c>
      <c r="B73" s="2">
        <f>Annual_Report!B69</f>
        <v>0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4">
        <f t="shared" si="9"/>
        <v>0</v>
      </c>
      <c r="AI73" s="4">
        <f t="shared" si="10"/>
        <v>0</v>
      </c>
      <c r="AJ73" s="4">
        <f t="shared" si="11"/>
        <v>0</v>
      </c>
      <c r="AK73" s="4">
        <f t="shared" si="12"/>
        <v>0</v>
      </c>
    </row>
    <row r="74" spans="1:37" x14ac:dyDescent="0.25">
      <c r="A74" s="2">
        <v>69</v>
      </c>
      <c r="B74" s="2">
        <f>Annual_Report!B70</f>
        <v>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4">
        <f t="shared" si="9"/>
        <v>0</v>
      </c>
      <c r="AI74" s="4">
        <f t="shared" si="10"/>
        <v>0</v>
      </c>
      <c r="AJ74" s="4">
        <f t="shared" si="11"/>
        <v>0</v>
      </c>
      <c r="AK74" s="4">
        <f t="shared" si="12"/>
        <v>0</v>
      </c>
    </row>
    <row r="75" spans="1:37" x14ac:dyDescent="0.25">
      <c r="A75" s="2">
        <v>70</v>
      </c>
      <c r="B75" s="2">
        <f>Annual_Report!B71</f>
        <v>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4">
        <f t="shared" si="9"/>
        <v>0</v>
      </c>
      <c r="AI75" s="4">
        <f t="shared" si="10"/>
        <v>0</v>
      </c>
      <c r="AJ75" s="4">
        <f t="shared" si="11"/>
        <v>0</v>
      </c>
      <c r="AK75" s="4">
        <f t="shared" si="12"/>
        <v>0</v>
      </c>
    </row>
    <row r="76" spans="1:37" x14ac:dyDescent="0.25">
      <c r="A76" s="2">
        <v>71</v>
      </c>
      <c r="B76" s="2">
        <f>Annual_Report!B72</f>
        <v>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4">
        <f t="shared" si="9"/>
        <v>0</v>
      </c>
      <c r="AI76" s="4">
        <f t="shared" si="10"/>
        <v>0</v>
      </c>
      <c r="AJ76" s="4">
        <f t="shared" si="11"/>
        <v>0</v>
      </c>
      <c r="AK76" s="4">
        <f t="shared" si="12"/>
        <v>0</v>
      </c>
    </row>
    <row r="77" spans="1:37" x14ac:dyDescent="0.25">
      <c r="A77" s="2">
        <v>72</v>
      </c>
      <c r="B77" s="2">
        <f>Annual_Report!B73</f>
        <v>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4">
        <f t="shared" si="9"/>
        <v>0</v>
      </c>
      <c r="AI77" s="4">
        <f t="shared" si="10"/>
        <v>0</v>
      </c>
      <c r="AJ77" s="4">
        <f t="shared" si="11"/>
        <v>0</v>
      </c>
      <c r="AK77" s="4">
        <f t="shared" si="12"/>
        <v>0</v>
      </c>
    </row>
    <row r="78" spans="1:37" x14ac:dyDescent="0.25">
      <c r="A78" s="2">
        <v>73</v>
      </c>
      <c r="B78" s="2">
        <f>Annual_Report!B74</f>
        <v>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4">
        <f t="shared" si="9"/>
        <v>0</v>
      </c>
      <c r="AI78" s="4">
        <f t="shared" si="10"/>
        <v>0</v>
      </c>
      <c r="AJ78" s="4">
        <f t="shared" si="11"/>
        <v>0</v>
      </c>
      <c r="AK78" s="4">
        <f t="shared" si="12"/>
        <v>0</v>
      </c>
    </row>
    <row r="79" spans="1:37" x14ac:dyDescent="0.25">
      <c r="A79" s="2">
        <v>74</v>
      </c>
      <c r="B79" s="2">
        <f>Annual_Report!B75</f>
        <v>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4">
        <f t="shared" si="9"/>
        <v>0</v>
      </c>
      <c r="AI79" s="4">
        <f t="shared" si="10"/>
        <v>0</v>
      </c>
      <c r="AJ79" s="4">
        <f t="shared" si="11"/>
        <v>0</v>
      </c>
      <c r="AK79" s="4">
        <f t="shared" si="12"/>
        <v>0</v>
      </c>
    </row>
    <row r="80" spans="1:37" x14ac:dyDescent="0.25">
      <c r="A80" s="2">
        <v>75</v>
      </c>
      <c r="B80" s="2">
        <f>Annual_Report!B76</f>
        <v>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4">
        <f t="shared" si="9"/>
        <v>0</v>
      </c>
      <c r="AI80" s="4">
        <f t="shared" si="10"/>
        <v>0</v>
      </c>
      <c r="AJ80" s="4">
        <f t="shared" si="11"/>
        <v>0</v>
      </c>
      <c r="AK80" s="4">
        <f t="shared" si="12"/>
        <v>0</v>
      </c>
    </row>
    <row r="81" spans="1:37" x14ac:dyDescent="0.25">
      <c r="A81" s="2">
        <v>76</v>
      </c>
      <c r="B81" s="2">
        <f>Annual_Report!B77</f>
        <v>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4">
        <f t="shared" si="9"/>
        <v>0</v>
      </c>
      <c r="AI81" s="4">
        <f t="shared" si="10"/>
        <v>0</v>
      </c>
      <c r="AJ81" s="4">
        <f t="shared" si="11"/>
        <v>0</v>
      </c>
      <c r="AK81" s="4">
        <f t="shared" si="12"/>
        <v>0</v>
      </c>
    </row>
    <row r="82" spans="1:37" x14ac:dyDescent="0.25">
      <c r="A82" s="2">
        <v>77</v>
      </c>
      <c r="B82" s="2">
        <f>Annual_Report!B78</f>
        <v>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4">
        <f t="shared" si="9"/>
        <v>0</v>
      </c>
      <c r="AI82" s="4">
        <f t="shared" si="10"/>
        <v>0</v>
      </c>
      <c r="AJ82" s="4">
        <f t="shared" si="11"/>
        <v>0</v>
      </c>
      <c r="AK82" s="4">
        <f t="shared" si="12"/>
        <v>0</v>
      </c>
    </row>
    <row r="83" spans="1:37" x14ac:dyDescent="0.25">
      <c r="A83" s="2">
        <v>78</v>
      </c>
      <c r="B83" s="2">
        <f>Annual_Report!B79</f>
        <v>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4">
        <f t="shared" si="9"/>
        <v>0</v>
      </c>
      <c r="AI83" s="4">
        <f t="shared" si="10"/>
        <v>0</v>
      </c>
      <c r="AJ83" s="4">
        <f t="shared" si="11"/>
        <v>0</v>
      </c>
      <c r="AK83" s="4">
        <f t="shared" si="12"/>
        <v>0</v>
      </c>
    </row>
    <row r="84" spans="1:37" x14ac:dyDescent="0.25">
      <c r="A84" s="2">
        <v>79</v>
      </c>
      <c r="B84" s="2">
        <f>Annual_Report!B80</f>
        <v>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4">
        <f t="shared" si="9"/>
        <v>0</v>
      </c>
      <c r="AI84" s="4">
        <f t="shared" si="10"/>
        <v>0</v>
      </c>
      <c r="AJ84" s="4">
        <f t="shared" si="11"/>
        <v>0</v>
      </c>
      <c r="AK84" s="4">
        <f t="shared" si="12"/>
        <v>0</v>
      </c>
    </row>
    <row r="85" spans="1:37" x14ac:dyDescent="0.25">
      <c r="A85" s="2">
        <v>80</v>
      </c>
      <c r="B85" s="2">
        <f>Annual_Report!B81</f>
        <v>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4">
        <f t="shared" si="9"/>
        <v>0</v>
      </c>
      <c r="AI85" s="4">
        <f t="shared" si="10"/>
        <v>0</v>
      </c>
      <c r="AJ85" s="4">
        <f t="shared" si="11"/>
        <v>0</v>
      </c>
      <c r="AK85" s="4">
        <f t="shared" si="12"/>
        <v>0</v>
      </c>
    </row>
    <row r="86" spans="1:37" x14ac:dyDescent="0.25">
      <c r="A86" s="2">
        <v>81</v>
      </c>
      <c r="B86" s="2">
        <f>Annual_Report!B82</f>
        <v>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4">
        <f t="shared" si="9"/>
        <v>0</v>
      </c>
      <c r="AI86" s="4">
        <f t="shared" si="10"/>
        <v>0</v>
      </c>
      <c r="AJ86" s="4">
        <f t="shared" si="11"/>
        <v>0</v>
      </c>
      <c r="AK86" s="4">
        <f t="shared" si="12"/>
        <v>0</v>
      </c>
    </row>
    <row r="87" spans="1:37" x14ac:dyDescent="0.25">
      <c r="A87" s="2">
        <v>82</v>
      </c>
      <c r="B87" s="2">
        <f>Annual_Report!B83</f>
        <v>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4">
        <f t="shared" si="9"/>
        <v>0</v>
      </c>
      <c r="AI87" s="4">
        <f t="shared" si="10"/>
        <v>0</v>
      </c>
      <c r="AJ87" s="4">
        <f t="shared" si="11"/>
        <v>0</v>
      </c>
      <c r="AK87" s="4">
        <f t="shared" si="12"/>
        <v>0</v>
      </c>
    </row>
    <row r="88" spans="1:37" x14ac:dyDescent="0.25">
      <c r="A88" s="2">
        <v>83</v>
      </c>
      <c r="B88" s="2">
        <f>Annual_Report!B84</f>
        <v>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4">
        <f t="shared" si="9"/>
        <v>0</v>
      </c>
      <c r="AI88" s="4">
        <f t="shared" si="10"/>
        <v>0</v>
      </c>
      <c r="AJ88" s="4">
        <f t="shared" si="11"/>
        <v>0</v>
      </c>
      <c r="AK88" s="4">
        <f t="shared" si="12"/>
        <v>0</v>
      </c>
    </row>
    <row r="89" spans="1:37" x14ac:dyDescent="0.25">
      <c r="A89" s="2">
        <v>84</v>
      </c>
      <c r="B89" s="2">
        <f>Annual_Report!B85</f>
        <v>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4">
        <f t="shared" si="9"/>
        <v>0</v>
      </c>
      <c r="AI89" s="4">
        <f t="shared" si="10"/>
        <v>0</v>
      </c>
      <c r="AJ89" s="4">
        <f t="shared" si="11"/>
        <v>0</v>
      </c>
      <c r="AK89" s="4">
        <f t="shared" si="12"/>
        <v>0</v>
      </c>
    </row>
    <row r="90" spans="1:37" x14ac:dyDescent="0.25">
      <c r="A90" s="2">
        <v>85</v>
      </c>
      <c r="B90" s="2">
        <f>Annual_Report!B86</f>
        <v>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4">
        <f t="shared" si="9"/>
        <v>0</v>
      </c>
      <c r="AI90" s="4">
        <f t="shared" si="10"/>
        <v>0</v>
      </c>
      <c r="AJ90" s="4">
        <f t="shared" si="11"/>
        <v>0</v>
      </c>
      <c r="AK90" s="4">
        <f t="shared" si="12"/>
        <v>0</v>
      </c>
    </row>
    <row r="91" spans="1:37" x14ac:dyDescent="0.25">
      <c r="A91" s="2">
        <v>86</v>
      </c>
      <c r="B91" s="2">
        <f>Annual_Report!B87</f>
        <v>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4">
        <f t="shared" si="9"/>
        <v>0</v>
      </c>
      <c r="AI91" s="4">
        <f t="shared" si="10"/>
        <v>0</v>
      </c>
      <c r="AJ91" s="4">
        <f t="shared" si="11"/>
        <v>0</v>
      </c>
      <c r="AK91" s="4">
        <f t="shared" si="12"/>
        <v>0</v>
      </c>
    </row>
    <row r="92" spans="1:37" x14ac:dyDescent="0.25">
      <c r="A92" s="2">
        <v>87</v>
      </c>
      <c r="B92" s="2">
        <f>Annual_Report!B88</f>
        <v>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4">
        <f t="shared" si="9"/>
        <v>0</v>
      </c>
      <c r="AI92" s="4">
        <f t="shared" si="10"/>
        <v>0</v>
      </c>
      <c r="AJ92" s="4">
        <f t="shared" si="11"/>
        <v>0</v>
      </c>
      <c r="AK92" s="4">
        <f t="shared" si="12"/>
        <v>0</v>
      </c>
    </row>
    <row r="93" spans="1:37" x14ac:dyDescent="0.25">
      <c r="A93" s="2">
        <v>88</v>
      </c>
      <c r="B93" s="2">
        <f>Annual_Report!B89</f>
        <v>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4">
        <f t="shared" si="9"/>
        <v>0</v>
      </c>
      <c r="AI93" s="4">
        <f t="shared" si="10"/>
        <v>0</v>
      </c>
      <c r="AJ93" s="4">
        <f t="shared" si="11"/>
        <v>0</v>
      </c>
      <c r="AK93" s="4">
        <f t="shared" si="12"/>
        <v>0</v>
      </c>
    </row>
    <row r="94" spans="1:37" x14ac:dyDescent="0.25">
      <c r="A94" s="2">
        <v>89</v>
      </c>
      <c r="B94" s="2">
        <f>Annual_Report!B90</f>
        <v>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4">
        <f t="shared" si="9"/>
        <v>0</v>
      </c>
      <c r="AI94" s="4">
        <f t="shared" si="10"/>
        <v>0</v>
      </c>
      <c r="AJ94" s="4">
        <f t="shared" si="11"/>
        <v>0</v>
      </c>
      <c r="AK94" s="4">
        <f t="shared" si="12"/>
        <v>0</v>
      </c>
    </row>
    <row r="95" spans="1:37" x14ac:dyDescent="0.25">
      <c r="A95" s="2">
        <v>90</v>
      </c>
      <c r="B95" s="2">
        <f>Annual_Report!B91</f>
        <v>0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4">
        <f t="shared" si="9"/>
        <v>0</v>
      </c>
      <c r="AI95" s="4">
        <f t="shared" si="10"/>
        <v>0</v>
      </c>
      <c r="AJ95" s="4">
        <f t="shared" si="11"/>
        <v>0</v>
      </c>
      <c r="AK95" s="4">
        <f t="shared" si="12"/>
        <v>0</v>
      </c>
    </row>
    <row r="96" spans="1:37" x14ac:dyDescent="0.25">
      <c r="A96" s="2">
        <v>91</v>
      </c>
      <c r="B96" s="2">
        <f>Annual_Report!B92</f>
        <v>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4">
        <f t="shared" si="9"/>
        <v>0</v>
      </c>
      <c r="AI96" s="4">
        <f t="shared" si="10"/>
        <v>0</v>
      </c>
      <c r="AJ96" s="4">
        <f t="shared" si="11"/>
        <v>0</v>
      </c>
      <c r="AK96" s="4">
        <f t="shared" si="12"/>
        <v>0</v>
      </c>
    </row>
    <row r="97" spans="1:37" x14ac:dyDescent="0.25">
      <c r="A97" s="2">
        <v>92</v>
      </c>
      <c r="B97" s="2">
        <f>Annual_Report!B93</f>
        <v>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4">
        <f t="shared" si="9"/>
        <v>0</v>
      </c>
      <c r="AI97" s="4">
        <f t="shared" si="10"/>
        <v>0</v>
      </c>
      <c r="AJ97" s="4">
        <f t="shared" si="11"/>
        <v>0</v>
      </c>
      <c r="AK97" s="4">
        <f t="shared" si="12"/>
        <v>0</v>
      </c>
    </row>
    <row r="98" spans="1:37" x14ac:dyDescent="0.25">
      <c r="A98" s="2">
        <v>93</v>
      </c>
      <c r="B98" s="2">
        <f>Annual_Report!B94</f>
        <v>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4">
        <f t="shared" si="9"/>
        <v>0</v>
      </c>
      <c r="AI98" s="4">
        <f t="shared" si="10"/>
        <v>0</v>
      </c>
      <c r="AJ98" s="4">
        <f t="shared" si="11"/>
        <v>0</v>
      </c>
      <c r="AK98" s="4">
        <f t="shared" si="12"/>
        <v>0</v>
      </c>
    </row>
    <row r="99" spans="1:37" x14ac:dyDescent="0.25">
      <c r="A99" s="2">
        <v>94</v>
      </c>
      <c r="B99" s="2">
        <f>Annual_Report!B95</f>
        <v>0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4">
        <f t="shared" si="9"/>
        <v>0</v>
      </c>
      <c r="AI99" s="4">
        <f t="shared" si="10"/>
        <v>0</v>
      </c>
      <c r="AJ99" s="4">
        <f t="shared" si="11"/>
        <v>0</v>
      </c>
      <c r="AK99" s="4">
        <f t="shared" si="12"/>
        <v>0</v>
      </c>
    </row>
    <row r="100" spans="1:37" x14ac:dyDescent="0.25">
      <c r="A100" s="2">
        <v>95</v>
      </c>
      <c r="B100" s="2">
        <f>Annual_Report!B96</f>
        <v>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4">
        <f t="shared" si="9"/>
        <v>0</v>
      </c>
      <c r="AI100" s="4">
        <f t="shared" si="10"/>
        <v>0</v>
      </c>
      <c r="AJ100" s="4">
        <f t="shared" si="11"/>
        <v>0</v>
      </c>
      <c r="AK100" s="4">
        <f t="shared" si="12"/>
        <v>0</v>
      </c>
    </row>
    <row r="101" spans="1:37" x14ac:dyDescent="0.25">
      <c r="A101" s="2">
        <v>96</v>
      </c>
      <c r="B101" s="2">
        <f>Annual_Report!B97</f>
        <v>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4">
        <f t="shared" si="9"/>
        <v>0</v>
      </c>
      <c r="AI101" s="4">
        <f t="shared" si="10"/>
        <v>0</v>
      </c>
      <c r="AJ101" s="4">
        <f t="shared" si="11"/>
        <v>0</v>
      </c>
      <c r="AK101" s="4">
        <f t="shared" si="12"/>
        <v>0</v>
      </c>
    </row>
    <row r="102" spans="1:37" x14ac:dyDescent="0.25">
      <c r="A102" s="2">
        <v>97</v>
      </c>
      <c r="B102" s="2">
        <f>Annual_Report!B98</f>
        <v>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4">
        <f t="shared" si="9"/>
        <v>0</v>
      </c>
      <c r="AI102" s="4">
        <f t="shared" si="10"/>
        <v>0</v>
      </c>
      <c r="AJ102" s="4">
        <f t="shared" si="11"/>
        <v>0</v>
      </c>
      <c r="AK102" s="4">
        <f t="shared" si="12"/>
        <v>0</v>
      </c>
    </row>
    <row r="103" spans="1:37" x14ac:dyDescent="0.25">
      <c r="A103" s="2">
        <v>98</v>
      </c>
      <c r="B103" s="2">
        <f>Annual_Report!B99</f>
        <v>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4">
        <f t="shared" si="9"/>
        <v>0</v>
      </c>
      <c r="AI103" s="4">
        <f t="shared" si="10"/>
        <v>0</v>
      </c>
      <c r="AJ103" s="4">
        <f t="shared" si="11"/>
        <v>0</v>
      </c>
      <c r="AK103" s="4">
        <f t="shared" si="12"/>
        <v>0</v>
      </c>
    </row>
    <row r="104" spans="1:37" x14ac:dyDescent="0.25">
      <c r="A104" s="2">
        <v>99</v>
      </c>
      <c r="B104" s="2">
        <f>Annual_Report!B100</f>
        <v>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4">
        <f t="shared" si="9"/>
        <v>0</v>
      </c>
      <c r="AI104" s="4">
        <f t="shared" si="10"/>
        <v>0</v>
      </c>
      <c r="AJ104" s="4">
        <f t="shared" si="11"/>
        <v>0</v>
      </c>
      <c r="AK104" s="4">
        <f t="shared" si="12"/>
        <v>0</v>
      </c>
    </row>
    <row r="105" spans="1:37" x14ac:dyDescent="0.25">
      <c r="A105" s="2">
        <v>100</v>
      </c>
      <c r="B105" s="2">
        <f>Annual_Report!B101</f>
        <v>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4">
        <f t="shared" si="9"/>
        <v>0</v>
      </c>
      <c r="AI105" s="4">
        <f t="shared" si="10"/>
        <v>0</v>
      </c>
      <c r="AJ105" s="4">
        <f t="shared" si="11"/>
        <v>0</v>
      </c>
      <c r="AK105" s="4">
        <f t="shared" si="12"/>
        <v>0</v>
      </c>
    </row>
  </sheetData>
  <conditionalFormatting sqref="C6:AG105">
    <cfRule type="cellIs" dxfId="71" priority="1" stopIfTrue="1" operator="equal">
      <formula>"ح"</formula>
    </cfRule>
    <cfRule type="cellIs" dxfId="70" priority="2" stopIfTrue="1" operator="equal">
      <formula>"غ"</formula>
    </cfRule>
    <cfRule type="cellIs" dxfId="69" priority="3" stopIfTrue="1" operator="equal">
      <formula>"ج"</formula>
    </cfRule>
    <cfRule type="cellIs" dxfId="68" priority="4" stopIfTrue="1" operator="equal">
      <formula>"م"</formula>
    </cfRule>
    <cfRule type="cellIs" dxfId="67" priority="5" stopIfTrue="1" operator="equal">
      <formula>"ج"</formula>
    </cfRule>
    <cfRule type="cellIs" dxfId="66" priority="6" stopIfTrue="1" operator="equal">
      <formula>"م"</formula>
    </cfRule>
  </conditionalFormatting>
  <dataValidations count="1">
    <dataValidation type="list" allowBlank="1" showErrorMessage="1" errorTitle="خطأ في الإدخال" error="يرجى استخدام الحروف الصحيحة: ح - غ - ج - م" sqref="C6:AG105" xr:uid="{EF454112-B19D-405D-9C56-0F62259D83CE}">
      <formula1>"ح,غ,ج,م"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BBF53-128A-49CE-8F2B-B1851F674D2C}">
  <sheetPr codeName="Sheet82"/>
  <dimension ref="A1:AK105"/>
  <sheetViews>
    <sheetView rightToLeft="1" workbookViewId="0"/>
  </sheetViews>
  <sheetFormatPr defaultRowHeight="15" x14ac:dyDescent="0.25"/>
  <cols>
    <col min="1" max="1" width="4.7109375" customWidth="1"/>
    <col min="2" max="2" width="25.7109375" customWidth="1"/>
    <col min="3" max="33" width="4.7109375" customWidth="1"/>
    <col min="34" max="34" width="5.85546875" bestFit="1" customWidth="1"/>
    <col min="35" max="35" width="4.7109375" bestFit="1" customWidth="1"/>
    <col min="36" max="36" width="4.5703125" bestFit="1" customWidth="1"/>
    <col min="37" max="37" width="6" bestFit="1" customWidth="1"/>
  </cols>
  <sheetData>
    <row r="1" spans="1:37" x14ac:dyDescent="0.25">
      <c r="A1" s="6"/>
      <c r="B1" s="6"/>
      <c r="C1" s="5" t="s">
        <v>9</v>
      </c>
      <c r="D1" s="5" t="s">
        <v>0</v>
      </c>
      <c r="E1" s="5" t="s">
        <v>1</v>
      </c>
      <c r="F1" s="5" t="s">
        <v>10</v>
      </c>
      <c r="G1" s="5" t="s">
        <v>11</v>
      </c>
    </row>
    <row r="2" spans="1:37" x14ac:dyDescent="0.25">
      <c r="A2" s="6"/>
      <c r="B2" s="6"/>
      <c r="C2" s="5" t="s">
        <v>12</v>
      </c>
      <c r="D2" s="5" t="s">
        <v>6</v>
      </c>
      <c r="E2" s="5" t="s">
        <v>7</v>
      </c>
      <c r="F2" s="5" t="s">
        <v>8</v>
      </c>
      <c r="G2" s="5" t="s">
        <v>2</v>
      </c>
    </row>
    <row r="4" spans="1:37" ht="65.099999999999994" customHeight="1" x14ac:dyDescent="0.25">
      <c r="A4" s="2" t="s">
        <v>2</v>
      </c>
      <c r="B4" s="2" t="s">
        <v>3</v>
      </c>
      <c r="C4" s="1" t="str">
        <f>CHOOSE(WEEKDAY(C5), "الأحد","الاثنين","الثلاثاء","الأربعاء","الخميس","الجمعة","السبت")</f>
        <v>الأحد</v>
      </c>
      <c r="D4" s="1" t="str">
        <f t="shared" ref="D4:AG4" si="0">CHOOSE(WEEKDAY(D5), "الأحد","الاثنين","الثلاثاء","الأربعاء","الخميس","الجمعة","السبت")</f>
        <v>الاثنين</v>
      </c>
      <c r="E4" s="1" t="str">
        <f t="shared" si="0"/>
        <v>الثلاثاء</v>
      </c>
      <c r="F4" s="1" t="str">
        <f t="shared" si="0"/>
        <v>الأربعاء</v>
      </c>
      <c r="G4" s="1" t="str">
        <f t="shared" si="0"/>
        <v>الخميس</v>
      </c>
      <c r="H4" s="1" t="str">
        <f t="shared" si="0"/>
        <v>الجمعة</v>
      </c>
      <c r="I4" s="1" t="str">
        <f t="shared" si="0"/>
        <v>السبت</v>
      </c>
      <c r="J4" s="1" t="str">
        <f t="shared" si="0"/>
        <v>الأحد</v>
      </c>
      <c r="K4" s="1" t="str">
        <f t="shared" si="0"/>
        <v>الاثنين</v>
      </c>
      <c r="L4" s="1" t="str">
        <f t="shared" si="0"/>
        <v>الثلاثاء</v>
      </c>
      <c r="M4" s="1" t="str">
        <f t="shared" si="0"/>
        <v>الأربعاء</v>
      </c>
      <c r="N4" s="1" t="str">
        <f t="shared" si="0"/>
        <v>الخميس</v>
      </c>
      <c r="O4" s="1" t="str">
        <f t="shared" si="0"/>
        <v>الجمعة</v>
      </c>
      <c r="P4" s="1" t="str">
        <f t="shared" si="0"/>
        <v>السبت</v>
      </c>
      <c r="Q4" s="1" t="str">
        <f t="shared" si="0"/>
        <v>الأحد</v>
      </c>
      <c r="R4" s="1" t="str">
        <f t="shared" si="0"/>
        <v>الاثنين</v>
      </c>
      <c r="S4" s="1" t="str">
        <f t="shared" si="0"/>
        <v>الثلاثاء</v>
      </c>
      <c r="T4" s="1" t="str">
        <f t="shared" si="0"/>
        <v>الأربعاء</v>
      </c>
      <c r="U4" s="1" t="str">
        <f t="shared" si="0"/>
        <v>الخميس</v>
      </c>
      <c r="V4" s="1" t="str">
        <f t="shared" si="0"/>
        <v>الجمعة</v>
      </c>
      <c r="W4" s="1" t="str">
        <f t="shared" si="0"/>
        <v>السبت</v>
      </c>
      <c r="X4" s="1" t="str">
        <f t="shared" si="0"/>
        <v>الأحد</v>
      </c>
      <c r="Y4" s="1" t="str">
        <f t="shared" si="0"/>
        <v>الاثنين</v>
      </c>
      <c r="Z4" s="1" t="str">
        <f t="shared" si="0"/>
        <v>الثلاثاء</v>
      </c>
      <c r="AA4" s="1" t="str">
        <f t="shared" si="0"/>
        <v>الأربعاء</v>
      </c>
      <c r="AB4" s="1" t="str">
        <f t="shared" si="0"/>
        <v>الخميس</v>
      </c>
      <c r="AC4" s="1" t="str">
        <f t="shared" si="0"/>
        <v>الجمعة</v>
      </c>
      <c r="AD4" s="1" t="str">
        <f t="shared" si="0"/>
        <v>السبت</v>
      </c>
      <c r="AE4" s="1" t="str">
        <f t="shared" si="0"/>
        <v>السبت</v>
      </c>
      <c r="AF4" s="1" t="str">
        <f t="shared" si="0"/>
        <v>السبت</v>
      </c>
      <c r="AG4" s="1" t="str">
        <f t="shared" si="0"/>
        <v>السبت</v>
      </c>
      <c r="AH4" s="9" t="s">
        <v>0</v>
      </c>
      <c r="AI4" s="9" t="s">
        <v>1</v>
      </c>
      <c r="AJ4" s="9" t="s">
        <v>10</v>
      </c>
      <c r="AK4" s="9" t="s">
        <v>11</v>
      </c>
    </row>
    <row r="5" spans="1:37" x14ac:dyDescent="0.25">
      <c r="A5" s="2"/>
      <c r="B5" s="2"/>
      <c r="C5" s="3" cm="1">
        <f t="array" ref="C5:AD5">_xlfn.SEQUENCE(1, DAY(EOMONTH(DATE(2026,2,1),0)), DATE(2026,2,1))</f>
        <v>46054</v>
      </c>
      <c r="D5" s="3">
        <v>46055</v>
      </c>
      <c r="E5" s="3">
        <v>46056</v>
      </c>
      <c r="F5" s="3">
        <v>46057</v>
      </c>
      <c r="G5" s="3">
        <v>46058</v>
      </c>
      <c r="H5" s="3">
        <v>46059</v>
      </c>
      <c r="I5" s="3">
        <v>46060</v>
      </c>
      <c r="J5" s="3">
        <v>46061</v>
      </c>
      <c r="K5" s="3">
        <v>46062</v>
      </c>
      <c r="L5" s="3">
        <v>46063</v>
      </c>
      <c r="M5" s="3">
        <v>46064</v>
      </c>
      <c r="N5" s="3">
        <v>46065</v>
      </c>
      <c r="O5" s="3">
        <v>46066</v>
      </c>
      <c r="P5" s="3">
        <v>46067</v>
      </c>
      <c r="Q5" s="3">
        <v>46068</v>
      </c>
      <c r="R5" s="3">
        <v>46069</v>
      </c>
      <c r="S5" s="3">
        <v>46070</v>
      </c>
      <c r="T5" s="3">
        <v>46071</v>
      </c>
      <c r="U5" s="3">
        <v>46072</v>
      </c>
      <c r="V5" s="3">
        <v>46073</v>
      </c>
      <c r="W5" s="3">
        <v>46074</v>
      </c>
      <c r="X5" s="3">
        <v>46075</v>
      </c>
      <c r="Y5" s="3">
        <v>46076</v>
      </c>
      <c r="Z5" s="3">
        <v>46077</v>
      </c>
      <c r="AA5" s="3">
        <v>46078</v>
      </c>
      <c r="AB5" s="3">
        <v>46079</v>
      </c>
      <c r="AC5" s="3">
        <v>46080</v>
      </c>
      <c r="AD5" s="3">
        <v>46081</v>
      </c>
      <c r="AE5" s="3"/>
      <c r="AF5" s="3"/>
      <c r="AG5" s="3"/>
      <c r="AH5" s="4"/>
      <c r="AI5" s="4"/>
      <c r="AJ5" s="4"/>
      <c r="AK5" s="4"/>
    </row>
    <row r="6" spans="1:37" x14ac:dyDescent="0.25">
      <c r="A6" s="2">
        <v>1</v>
      </c>
      <c r="B6" s="2">
        <f>Annual_Report!B2</f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4">
        <f t="shared" ref="AH6:AH37" si="1">COUNTIF($C6:$AG6, "ح")</f>
        <v>0</v>
      </c>
      <c r="AI6" s="4">
        <f t="shared" ref="AI6:AI37" si="2">COUNTIF($C6:$AG6, "غ")</f>
        <v>0</v>
      </c>
      <c r="AJ6" s="4">
        <f t="shared" ref="AJ6:AJ37" si="3">COUNTIF($C6:$AG6, "ج")</f>
        <v>0</v>
      </c>
      <c r="AK6" s="4">
        <f t="shared" ref="AK6:AK37" si="4">COUNTIF($C6:$AG6, "م")</f>
        <v>0</v>
      </c>
    </row>
    <row r="7" spans="1:37" x14ac:dyDescent="0.25">
      <c r="A7" s="2">
        <v>2</v>
      </c>
      <c r="B7" s="2">
        <f>Annual_Report!B3</f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4">
        <f t="shared" si="1"/>
        <v>0</v>
      </c>
      <c r="AI7" s="4">
        <f t="shared" si="2"/>
        <v>0</v>
      </c>
      <c r="AJ7" s="4">
        <f t="shared" si="3"/>
        <v>0</v>
      </c>
      <c r="AK7" s="4">
        <f t="shared" si="4"/>
        <v>0</v>
      </c>
    </row>
    <row r="8" spans="1:37" x14ac:dyDescent="0.25">
      <c r="A8" s="2">
        <v>3</v>
      </c>
      <c r="B8" s="2">
        <f>Annual_Report!B4</f>
        <v>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4">
        <f t="shared" si="1"/>
        <v>0</v>
      </c>
      <c r="AI8" s="4">
        <f t="shared" si="2"/>
        <v>0</v>
      </c>
      <c r="AJ8" s="4">
        <f t="shared" si="3"/>
        <v>0</v>
      </c>
      <c r="AK8" s="4">
        <f t="shared" si="4"/>
        <v>0</v>
      </c>
    </row>
    <row r="9" spans="1:37" x14ac:dyDescent="0.25">
      <c r="A9" s="2">
        <v>4</v>
      </c>
      <c r="B9" s="2">
        <f>Annual_Report!B5</f>
        <v>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4">
        <f t="shared" si="1"/>
        <v>0</v>
      </c>
      <c r="AI9" s="4">
        <f t="shared" si="2"/>
        <v>0</v>
      </c>
      <c r="AJ9" s="4">
        <f t="shared" si="3"/>
        <v>0</v>
      </c>
      <c r="AK9" s="4">
        <f t="shared" si="4"/>
        <v>0</v>
      </c>
    </row>
    <row r="10" spans="1:37" x14ac:dyDescent="0.25">
      <c r="A10" s="2">
        <v>5</v>
      </c>
      <c r="B10" s="2">
        <f>Annual_Report!B6</f>
        <v>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4">
        <f t="shared" si="1"/>
        <v>0</v>
      </c>
      <c r="AI10" s="4">
        <f t="shared" si="2"/>
        <v>0</v>
      </c>
      <c r="AJ10" s="4">
        <f t="shared" si="3"/>
        <v>0</v>
      </c>
      <c r="AK10" s="4">
        <f t="shared" si="4"/>
        <v>0</v>
      </c>
    </row>
    <row r="11" spans="1:37" x14ac:dyDescent="0.25">
      <c r="A11" s="2">
        <v>6</v>
      </c>
      <c r="B11" s="2">
        <f>Annual_Report!B7</f>
        <v>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4">
        <f t="shared" si="1"/>
        <v>0</v>
      </c>
      <c r="AI11" s="4">
        <f t="shared" si="2"/>
        <v>0</v>
      </c>
      <c r="AJ11" s="4">
        <f t="shared" si="3"/>
        <v>0</v>
      </c>
      <c r="AK11" s="4">
        <f t="shared" si="4"/>
        <v>0</v>
      </c>
    </row>
    <row r="12" spans="1:37" x14ac:dyDescent="0.25">
      <c r="A12" s="2">
        <v>7</v>
      </c>
      <c r="B12" s="2">
        <f>Annual_Report!B8</f>
        <v>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4">
        <f t="shared" si="1"/>
        <v>0</v>
      </c>
      <c r="AI12" s="4">
        <f t="shared" si="2"/>
        <v>0</v>
      </c>
      <c r="AJ12" s="4">
        <f t="shared" si="3"/>
        <v>0</v>
      </c>
      <c r="AK12" s="4">
        <f t="shared" si="4"/>
        <v>0</v>
      </c>
    </row>
    <row r="13" spans="1:37" x14ac:dyDescent="0.25">
      <c r="A13" s="2">
        <v>8</v>
      </c>
      <c r="B13" s="2">
        <f>Annual_Report!B9</f>
        <v>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4">
        <f t="shared" si="1"/>
        <v>0</v>
      </c>
      <c r="AI13" s="4">
        <f t="shared" si="2"/>
        <v>0</v>
      </c>
      <c r="AJ13" s="4">
        <f t="shared" si="3"/>
        <v>0</v>
      </c>
      <c r="AK13" s="4">
        <f t="shared" si="4"/>
        <v>0</v>
      </c>
    </row>
    <row r="14" spans="1:37" x14ac:dyDescent="0.25">
      <c r="A14" s="2">
        <v>9</v>
      </c>
      <c r="B14" s="2">
        <f>Annual_Report!B10</f>
        <v>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4">
        <f t="shared" si="1"/>
        <v>0</v>
      </c>
      <c r="AI14" s="4">
        <f t="shared" si="2"/>
        <v>0</v>
      </c>
      <c r="AJ14" s="4">
        <f t="shared" si="3"/>
        <v>0</v>
      </c>
      <c r="AK14" s="4">
        <f t="shared" si="4"/>
        <v>0</v>
      </c>
    </row>
    <row r="15" spans="1:37" x14ac:dyDescent="0.25">
      <c r="A15" s="2">
        <v>10</v>
      </c>
      <c r="B15" s="2">
        <f>Annual_Report!B11</f>
        <v>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4">
        <f t="shared" si="1"/>
        <v>0</v>
      </c>
      <c r="AI15" s="4">
        <f t="shared" si="2"/>
        <v>0</v>
      </c>
      <c r="AJ15" s="4">
        <f t="shared" si="3"/>
        <v>0</v>
      </c>
      <c r="AK15" s="4">
        <f t="shared" si="4"/>
        <v>0</v>
      </c>
    </row>
    <row r="16" spans="1:37" x14ac:dyDescent="0.25">
      <c r="A16" s="2">
        <v>11</v>
      </c>
      <c r="B16" s="2">
        <f>Annual_Report!B12</f>
        <v>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4">
        <f t="shared" si="1"/>
        <v>0</v>
      </c>
      <c r="AI16" s="4">
        <f t="shared" si="2"/>
        <v>0</v>
      </c>
      <c r="AJ16" s="4">
        <f t="shared" si="3"/>
        <v>0</v>
      </c>
      <c r="AK16" s="4">
        <f t="shared" si="4"/>
        <v>0</v>
      </c>
    </row>
    <row r="17" spans="1:37" x14ac:dyDescent="0.25">
      <c r="A17" s="2">
        <v>12</v>
      </c>
      <c r="B17" s="2">
        <f>Annual_Report!B13</f>
        <v>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4">
        <f t="shared" si="1"/>
        <v>0</v>
      </c>
      <c r="AI17" s="4">
        <f t="shared" si="2"/>
        <v>0</v>
      </c>
      <c r="AJ17" s="4">
        <f t="shared" si="3"/>
        <v>0</v>
      </c>
      <c r="AK17" s="4">
        <f t="shared" si="4"/>
        <v>0</v>
      </c>
    </row>
    <row r="18" spans="1:37" x14ac:dyDescent="0.25">
      <c r="A18" s="2">
        <v>13</v>
      </c>
      <c r="B18" s="2">
        <f>Annual_Report!B14</f>
        <v>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4">
        <f t="shared" si="1"/>
        <v>0</v>
      </c>
      <c r="AI18" s="4">
        <f t="shared" si="2"/>
        <v>0</v>
      </c>
      <c r="AJ18" s="4">
        <f t="shared" si="3"/>
        <v>0</v>
      </c>
      <c r="AK18" s="4">
        <f t="shared" si="4"/>
        <v>0</v>
      </c>
    </row>
    <row r="19" spans="1:37" x14ac:dyDescent="0.25">
      <c r="A19" s="2">
        <v>14</v>
      </c>
      <c r="B19" s="2">
        <f>Annual_Report!B15</f>
        <v>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4">
        <f t="shared" si="1"/>
        <v>0</v>
      </c>
      <c r="AI19" s="4">
        <f t="shared" si="2"/>
        <v>0</v>
      </c>
      <c r="AJ19" s="4">
        <f t="shared" si="3"/>
        <v>0</v>
      </c>
      <c r="AK19" s="4">
        <f t="shared" si="4"/>
        <v>0</v>
      </c>
    </row>
    <row r="20" spans="1:37" x14ac:dyDescent="0.25">
      <c r="A20" s="2">
        <v>15</v>
      </c>
      <c r="B20" s="2">
        <f>Annual_Report!B16</f>
        <v>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4">
        <f t="shared" si="1"/>
        <v>0</v>
      </c>
      <c r="AI20" s="4">
        <f t="shared" si="2"/>
        <v>0</v>
      </c>
      <c r="AJ20" s="4">
        <f t="shared" si="3"/>
        <v>0</v>
      </c>
      <c r="AK20" s="4">
        <f t="shared" si="4"/>
        <v>0</v>
      </c>
    </row>
    <row r="21" spans="1:37" x14ac:dyDescent="0.25">
      <c r="A21" s="2">
        <v>16</v>
      </c>
      <c r="B21" s="2">
        <f>Annual_Report!B17</f>
        <v>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4">
        <f t="shared" si="1"/>
        <v>0</v>
      </c>
      <c r="AI21" s="4">
        <f t="shared" si="2"/>
        <v>0</v>
      </c>
      <c r="AJ21" s="4">
        <f t="shared" si="3"/>
        <v>0</v>
      </c>
      <c r="AK21" s="4">
        <f t="shared" si="4"/>
        <v>0</v>
      </c>
    </row>
    <row r="22" spans="1:37" x14ac:dyDescent="0.25">
      <c r="A22" s="2">
        <v>17</v>
      </c>
      <c r="B22" s="2">
        <f>Annual_Report!B18</f>
        <v>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4">
        <f t="shared" si="1"/>
        <v>0</v>
      </c>
      <c r="AI22" s="4">
        <f t="shared" si="2"/>
        <v>0</v>
      </c>
      <c r="AJ22" s="4">
        <f t="shared" si="3"/>
        <v>0</v>
      </c>
      <c r="AK22" s="4">
        <f t="shared" si="4"/>
        <v>0</v>
      </c>
    </row>
    <row r="23" spans="1:37" x14ac:dyDescent="0.25">
      <c r="A23" s="2">
        <v>18</v>
      </c>
      <c r="B23" s="2">
        <f>Annual_Report!B19</f>
        <v>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4">
        <f t="shared" si="1"/>
        <v>0</v>
      </c>
      <c r="AI23" s="4">
        <f t="shared" si="2"/>
        <v>0</v>
      </c>
      <c r="AJ23" s="4">
        <f t="shared" si="3"/>
        <v>0</v>
      </c>
      <c r="AK23" s="4">
        <f t="shared" si="4"/>
        <v>0</v>
      </c>
    </row>
    <row r="24" spans="1:37" x14ac:dyDescent="0.25">
      <c r="A24" s="2">
        <v>19</v>
      </c>
      <c r="B24" s="2">
        <f>Annual_Report!B20</f>
        <v>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4">
        <f t="shared" si="1"/>
        <v>0</v>
      </c>
      <c r="AI24" s="4">
        <f t="shared" si="2"/>
        <v>0</v>
      </c>
      <c r="AJ24" s="4">
        <f t="shared" si="3"/>
        <v>0</v>
      </c>
      <c r="AK24" s="4">
        <f t="shared" si="4"/>
        <v>0</v>
      </c>
    </row>
    <row r="25" spans="1:37" x14ac:dyDescent="0.25">
      <c r="A25" s="2">
        <v>20</v>
      </c>
      <c r="B25" s="2">
        <f>Annual_Report!B21</f>
        <v>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4">
        <f t="shared" si="1"/>
        <v>0</v>
      </c>
      <c r="AI25" s="4">
        <f t="shared" si="2"/>
        <v>0</v>
      </c>
      <c r="AJ25" s="4">
        <f t="shared" si="3"/>
        <v>0</v>
      </c>
      <c r="AK25" s="4">
        <f t="shared" si="4"/>
        <v>0</v>
      </c>
    </row>
    <row r="26" spans="1:37" x14ac:dyDescent="0.25">
      <c r="A26" s="2">
        <v>21</v>
      </c>
      <c r="B26" s="2">
        <f>Annual_Report!B22</f>
        <v>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4">
        <f t="shared" si="1"/>
        <v>0</v>
      </c>
      <c r="AI26" s="4">
        <f t="shared" si="2"/>
        <v>0</v>
      </c>
      <c r="AJ26" s="4">
        <f t="shared" si="3"/>
        <v>0</v>
      </c>
      <c r="AK26" s="4">
        <f t="shared" si="4"/>
        <v>0</v>
      </c>
    </row>
    <row r="27" spans="1:37" x14ac:dyDescent="0.25">
      <c r="A27" s="2">
        <v>22</v>
      </c>
      <c r="B27" s="2">
        <f>Annual_Report!B23</f>
        <v>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4">
        <f t="shared" si="1"/>
        <v>0</v>
      </c>
      <c r="AI27" s="4">
        <f t="shared" si="2"/>
        <v>0</v>
      </c>
      <c r="AJ27" s="4">
        <f t="shared" si="3"/>
        <v>0</v>
      </c>
      <c r="AK27" s="4">
        <f t="shared" si="4"/>
        <v>0</v>
      </c>
    </row>
    <row r="28" spans="1:37" x14ac:dyDescent="0.25">
      <c r="A28" s="2">
        <v>23</v>
      </c>
      <c r="B28" s="2">
        <f>Annual_Report!B24</f>
        <v>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4">
        <f t="shared" si="1"/>
        <v>0</v>
      </c>
      <c r="AI28" s="4">
        <f t="shared" si="2"/>
        <v>0</v>
      </c>
      <c r="AJ28" s="4">
        <f t="shared" si="3"/>
        <v>0</v>
      </c>
      <c r="AK28" s="4">
        <f t="shared" si="4"/>
        <v>0</v>
      </c>
    </row>
    <row r="29" spans="1:37" x14ac:dyDescent="0.25">
      <c r="A29" s="2">
        <v>24</v>
      </c>
      <c r="B29" s="2">
        <f>Annual_Report!B25</f>
        <v>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4">
        <f t="shared" si="1"/>
        <v>0</v>
      </c>
      <c r="AI29" s="4">
        <f t="shared" si="2"/>
        <v>0</v>
      </c>
      <c r="AJ29" s="4">
        <f t="shared" si="3"/>
        <v>0</v>
      </c>
      <c r="AK29" s="4">
        <f t="shared" si="4"/>
        <v>0</v>
      </c>
    </row>
    <row r="30" spans="1:37" x14ac:dyDescent="0.25">
      <c r="A30" s="2">
        <v>25</v>
      </c>
      <c r="B30" s="2">
        <f>Annual_Report!B26</f>
        <v>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4">
        <f t="shared" si="1"/>
        <v>0</v>
      </c>
      <c r="AI30" s="4">
        <f t="shared" si="2"/>
        <v>0</v>
      </c>
      <c r="AJ30" s="4">
        <f t="shared" si="3"/>
        <v>0</v>
      </c>
      <c r="AK30" s="4">
        <f t="shared" si="4"/>
        <v>0</v>
      </c>
    </row>
    <row r="31" spans="1:37" x14ac:dyDescent="0.25">
      <c r="A31" s="2">
        <v>26</v>
      </c>
      <c r="B31" s="2">
        <f>Annual_Report!B27</f>
        <v>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4">
        <f t="shared" si="1"/>
        <v>0</v>
      </c>
      <c r="AI31" s="4">
        <f t="shared" si="2"/>
        <v>0</v>
      </c>
      <c r="AJ31" s="4">
        <f t="shared" si="3"/>
        <v>0</v>
      </c>
      <c r="AK31" s="4">
        <f t="shared" si="4"/>
        <v>0</v>
      </c>
    </row>
    <row r="32" spans="1:37" x14ac:dyDescent="0.25">
      <c r="A32" s="2">
        <v>27</v>
      </c>
      <c r="B32" s="2">
        <f>Annual_Report!B28</f>
        <v>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4">
        <f t="shared" si="1"/>
        <v>0</v>
      </c>
      <c r="AI32" s="4">
        <f t="shared" si="2"/>
        <v>0</v>
      </c>
      <c r="AJ32" s="4">
        <f t="shared" si="3"/>
        <v>0</v>
      </c>
      <c r="AK32" s="4">
        <f t="shared" si="4"/>
        <v>0</v>
      </c>
    </row>
    <row r="33" spans="1:37" x14ac:dyDescent="0.25">
      <c r="A33" s="2">
        <v>28</v>
      </c>
      <c r="B33" s="2">
        <f>Annual_Report!B29</f>
        <v>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4">
        <f t="shared" si="1"/>
        <v>0</v>
      </c>
      <c r="AI33" s="4">
        <f t="shared" si="2"/>
        <v>0</v>
      </c>
      <c r="AJ33" s="4">
        <f t="shared" si="3"/>
        <v>0</v>
      </c>
      <c r="AK33" s="4">
        <f t="shared" si="4"/>
        <v>0</v>
      </c>
    </row>
    <row r="34" spans="1:37" x14ac:dyDescent="0.25">
      <c r="A34" s="2">
        <v>29</v>
      </c>
      <c r="B34" s="2">
        <f>Annual_Report!B30</f>
        <v>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4">
        <f t="shared" si="1"/>
        <v>0</v>
      </c>
      <c r="AI34" s="4">
        <f t="shared" si="2"/>
        <v>0</v>
      </c>
      <c r="AJ34" s="4">
        <f t="shared" si="3"/>
        <v>0</v>
      </c>
      <c r="AK34" s="4">
        <f t="shared" si="4"/>
        <v>0</v>
      </c>
    </row>
    <row r="35" spans="1:37" x14ac:dyDescent="0.25">
      <c r="A35" s="2">
        <v>30</v>
      </c>
      <c r="B35" s="2">
        <f>Annual_Report!B31</f>
        <v>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4">
        <f t="shared" si="1"/>
        <v>0</v>
      </c>
      <c r="AI35" s="4">
        <f t="shared" si="2"/>
        <v>0</v>
      </c>
      <c r="AJ35" s="4">
        <f t="shared" si="3"/>
        <v>0</v>
      </c>
      <c r="AK35" s="4">
        <f t="shared" si="4"/>
        <v>0</v>
      </c>
    </row>
    <row r="36" spans="1:37" x14ac:dyDescent="0.25">
      <c r="A36" s="2">
        <v>31</v>
      </c>
      <c r="B36" s="2">
        <f>Annual_Report!B32</f>
        <v>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4">
        <f t="shared" si="1"/>
        <v>0</v>
      </c>
      <c r="AI36" s="4">
        <f t="shared" si="2"/>
        <v>0</v>
      </c>
      <c r="AJ36" s="4">
        <f t="shared" si="3"/>
        <v>0</v>
      </c>
      <c r="AK36" s="4">
        <f t="shared" si="4"/>
        <v>0</v>
      </c>
    </row>
    <row r="37" spans="1:37" x14ac:dyDescent="0.25">
      <c r="A37" s="2">
        <v>32</v>
      </c>
      <c r="B37" s="2">
        <f>Annual_Report!B33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4">
        <f t="shared" si="1"/>
        <v>0</v>
      </c>
      <c r="AI37" s="4">
        <f t="shared" si="2"/>
        <v>0</v>
      </c>
      <c r="AJ37" s="4">
        <f t="shared" si="3"/>
        <v>0</v>
      </c>
      <c r="AK37" s="4">
        <f t="shared" si="4"/>
        <v>0</v>
      </c>
    </row>
    <row r="38" spans="1:37" x14ac:dyDescent="0.25">
      <c r="A38" s="2">
        <v>33</v>
      </c>
      <c r="B38" s="2">
        <f>Annual_Report!B34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4">
        <f t="shared" ref="AH38:AH69" si="5">COUNTIF($C38:$AG38, "ح")</f>
        <v>0</v>
      </c>
      <c r="AI38" s="4">
        <f t="shared" ref="AI38:AI69" si="6">COUNTIF($C38:$AG38, "غ")</f>
        <v>0</v>
      </c>
      <c r="AJ38" s="4">
        <f t="shared" ref="AJ38:AJ69" si="7">COUNTIF($C38:$AG38, "ج")</f>
        <v>0</v>
      </c>
      <c r="AK38" s="4">
        <f t="shared" ref="AK38:AK69" si="8">COUNTIF($C38:$AG38, "م")</f>
        <v>0</v>
      </c>
    </row>
    <row r="39" spans="1:37" x14ac:dyDescent="0.25">
      <c r="A39" s="2">
        <v>34</v>
      </c>
      <c r="B39" s="2">
        <f>Annual_Report!B35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4">
        <f t="shared" si="5"/>
        <v>0</v>
      </c>
      <c r="AI39" s="4">
        <f t="shared" si="6"/>
        <v>0</v>
      </c>
      <c r="AJ39" s="4">
        <f t="shared" si="7"/>
        <v>0</v>
      </c>
      <c r="AK39" s="4">
        <f t="shared" si="8"/>
        <v>0</v>
      </c>
    </row>
    <row r="40" spans="1:37" x14ac:dyDescent="0.25">
      <c r="A40" s="2">
        <v>35</v>
      </c>
      <c r="B40" s="2">
        <f>Annual_Report!B36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4">
        <f t="shared" si="5"/>
        <v>0</v>
      </c>
      <c r="AI40" s="4">
        <f t="shared" si="6"/>
        <v>0</v>
      </c>
      <c r="AJ40" s="4">
        <f t="shared" si="7"/>
        <v>0</v>
      </c>
      <c r="AK40" s="4">
        <f t="shared" si="8"/>
        <v>0</v>
      </c>
    </row>
    <row r="41" spans="1:37" x14ac:dyDescent="0.25">
      <c r="A41" s="2">
        <v>36</v>
      </c>
      <c r="B41" s="2">
        <f>Annual_Report!B37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4">
        <f t="shared" si="5"/>
        <v>0</v>
      </c>
      <c r="AI41" s="4">
        <f t="shared" si="6"/>
        <v>0</v>
      </c>
      <c r="AJ41" s="4">
        <f t="shared" si="7"/>
        <v>0</v>
      </c>
      <c r="AK41" s="4">
        <f t="shared" si="8"/>
        <v>0</v>
      </c>
    </row>
    <row r="42" spans="1:37" x14ac:dyDescent="0.25">
      <c r="A42" s="2">
        <v>37</v>
      </c>
      <c r="B42" s="2">
        <f>Annual_Report!B38</f>
        <v>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4">
        <f t="shared" si="5"/>
        <v>0</v>
      </c>
      <c r="AI42" s="4">
        <f t="shared" si="6"/>
        <v>0</v>
      </c>
      <c r="AJ42" s="4">
        <f t="shared" si="7"/>
        <v>0</v>
      </c>
      <c r="AK42" s="4">
        <f t="shared" si="8"/>
        <v>0</v>
      </c>
    </row>
    <row r="43" spans="1:37" x14ac:dyDescent="0.25">
      <c r="A43" s="2">
        <v>38</v>
      </c>
      <c r="B43" s="2">
        <f>Annual_Report!B39</f>
        <v>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4">
        <f t="shared" si="5"/>
        <v>0</v>
      </c>
      <c r="AI43" s="4">
        <f t="shared" si="6"/>
        <v>0</v>
      </c>
      <c r="AJ43" s="4">
        <f t="shared" si="7"/>
        <v>0</v>
      </c>
      <c r="AK43" s="4">
        <f t="shared" si="8"/>
        <v>0</v>
      </c>
    </row>
    <row r="44" spans="1:37" x14ac:dyDescent="0.25">
      <c r="A44" s="2">
        <v>39</v>
      </c>
      <c r="B44" s="2">
        <f>Annual_Report!B40</f>
        <v>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4">
        <f t="shared" si="5"/>
        <v>0</v>
      </c>
      <c r="AI44" s="4">
        <f t="shared" si="6"/>
        <v>0</v>
      </c>
      <c r="AJ44" s="4">
        <f t="shared" si="7"/>
        <v>0</v>
      </c>
      <c r="AK44" s="4">
        <f t="shared" si="8"/>
        <v>0</v>
      </c>
    </row>
    <row r="45" spans="1:37" x14ac:dyDescent="0.25">
      <c r="A45" s="2">
        <v>40</v>
      </c>
      <c r="B45" s="2">
        <f>Annual_Report!B41</f>
        <v>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4">
        <f t="shared" si="5"/>
        <v>0</v>
      </c>
      <c r="AI45" s="4">
        <f t="shared" si="6"/>
        <v>0</v>
      </c>
      <c r="AJ45" s="4">
        <f t="shared" si="7"/>
        <v>0</v>
      </c>
      <c r="AK45" s="4">
        <f t="shared" si="8"/>
        <v>0</v>
      </c>
    </row>
    <row r="46" spans="1:37" x14ac:dyDescent="0.25">
      <c r="A46" s="2">
        <v>41</v>
      </c>
      <c r="B46" s="2">
        <f>Annual_Report!B42</f>
        <v>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4">
        <f t="shared" si="5"/>
        <v>0</v>
      </c>
      <c r="AI46" s="4">
        <f t="shared" si="6"/>
        <v>0</v>
      </c>
      <c r="AJ46" s="4">
        <f t="shared" si="7"/>
        <v>0</v>
      </c>
      <c r="AK46" s="4">
        <f t="shared" si="8"/>
        <v>0</v>
      </c>
    </row>
    <row r="47" spans="1:37" x14ac:dyDescent="0.25">
      <c r="A47" s="2">
        <v>42</v>
      </c>
      <c r="B47" s="2">
        <f>Annual_Report!B43</f>
        <v>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4">
        <f t="shared" si="5"/>
        <v>0</v>
      </c>
      <c r="AI47" s="4">
        <f t="shared" si="6"/>
        <v>0</v>
      </c>
      <c r="AJ47" s="4">
        <f t="shared" si="7"/>
        <v>0</v>
      </c>
      <c r="AK47" s="4">
        <f t="shared" si="8"/>
        <v>0</v>
      </c>
    </row>
    <row r="48" spans="1:37" x14ac:dyDescent="0.25">
      <c r="A48" s="2">
        <v>43</v>
      </c>
      <c r="B48" s="2">
        <f>Annual_Report!B44</f>
        <v>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4">
        <f t="shared" si="5"/>
        <v>0</v>
      </c>
      <c r="AI48" s="4">
        <f t="shared" si="6"/>
        <v>0</v>
      </c>
      <c r="AJ48" s="4">
        <f t="shared" si="7"/>
        <v>0</v>
      </c>
      <c r="AK48" s="4">
        <f t="shared" si="8"/>
        <v>0</v>
      </c>
    </row>
    <row r="49" spans="1:37" x14ac:dyDescent="0.25">
      <c r="A49" s="2">
        <v>44</v>
      </c>
      <c r="B49" s="2">
        <f>Annual_Report!B45</f>
        <v>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4">
        <f t="shared" si="5"/>
        <v>0</v>
      </c>
      <c r="AI49" s="4">
        <f t="shared" si="6"/>
        <v>0</v>
      </c>
      <c r="AJ49" s="4">
        <f t="shared" si="7"/>
        <v>0</v>
      </c>
      <c r="AK49" s="4">
        <f t="shared" si="8"/>
        <v>0</v>
      </c>
    </row>
    <row r="50" spans="1:37" x14ac:dyDescent="0.25">
      <c r="A50" s="2">
        <v>45</v>
      </c>
      <c r="B50" s="2">
        <f>Annual_Report!B46</f>
        <v>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4">
        <f t="shared" si="5"/>
        <v>0</v>
      </c>
      <c r="AI50" s="4">
        <f t="shared" si="6"/>
        <v>0</v>
      </c>
      <c r="AJ50" s="4">
        <f t="shared" si="7"/>
        <v>0</v>
      </c>
      <c r="AK50" s="4">
        <f t="shared" si="8"/>
        <v>0</v>
      </c>
    </row>
    <row r="51" spans="1:37" x14ac:dyDescent="0.25">
      <c r="A51" s="2">
        <v>46</v>
      </c>
      <c r="B51" s="2">
        <f>Annual_Report!B47</f>
        <v>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4">
        <f t="shared" si="5"/>
        <v>0</v>
      </c>
      <c r="AI51" s="4">
        <f t="shared" si="6"/>
        <v>0</v>
      </c>
      <c r="AJ51" s="4">
        <f t="shared" si="7"/>
        <v>0</v>
      </c>
      <c r="AK51" s="4">
        <f t="shared" si="8"/>
        <v>0</v>
      </c>
    </row>
    <row r="52" spans="1:37" x14ac:dyDescent="0.25">
      <c r="A52" s="2">
        <v>47</v>
      </c>
      <c r="B52" s="2">
        <f>Annual_Report!B48</f>
        <v>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4">
        <f t="shared" si="5"/>
        <v>0</v>
      </c>
      <c r="AI52" s="4">
        <f t="shared" si="6"/>
        <v>0</v>
      </c>
      <c r="AJ52" s="4">
        <f t="shared" si="7"/>
        <v>0</v>
      </c>
      <c r="AK52" s="4">
        <f t="shared" si="8"/>
        <v>0</v>
      </c>
    </row>
    <row r="53" spans="1:37" x14ac:dyDescent="0.25">
      <c r="A53" s="2">
        <v>48</v>
      </c>
      <c r="B53" s="2">
        <f>Annual_Report!B49</f>
        <v>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4">
        <f t="shared" si="5"/>
        <v>0</v>
      </c>
      <c r="AI53" s="4">
        <f t="shared" si="6"/>
        <v>0</v>
      </c>
      <c r="AJ53" s="4">
        <f t="shared" si="7"/>
        <v>0</v>
      </c>
      <c r="AK53" s="4">
        <f t="shared" si="8"/>
        <v>0</v>
      </c>
    </row>
    <row r="54" spans="1:37" x14ac:dyDescent="0.25">
      <c r="A54" s="2">
        <v>49</v>
      </c>
      <c r="B54" s="2">
        <f>Annual_Report!B50</f>
        <v>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4">
        <f t="shared" si="5"/>
        <v>0</v>
      </c>
      <c r="AI54" s="4">
        <f t="shared" si="6"/>
        <v>0</v>
      </c>
      <c r="AJ54" s="4">
        <f t="shared" si="7"/>
        <v>0</v>
      </c>
      <c r="AK54" s="4">
        <f t="shared" si="8"/>
        <v>0</v>
      </c>
    </row>
    <row r="55" spans="1:37" x14ac:dyDescent="0.25">
      <c r="A55" s="2">
        <v>50</v>
      </c>
      <c r="B55" s="2">
        <f>Annual_Report!B51</f>
        <v>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4">
        <f t="shared" si="5"/>
        <v>0</v>
      </c>
      <c r="AI55" s="4">
        <f t="shared" si="6"/>
        <v>0</v>
      </c>
      <c r="AJ55" s="4">
        <f t="shared" si="7"/>
        <v>0</v>
      </c>
      <c r="AK55" s="4">
        <f t="shared" si="8"/>
        <v>0</v>
      </c>
    </row>
    <row r="56" spans="1:37" x14ac:dyDescent="0.25">
      <c r="A56" s="2">
        <v>51</v>
      </c>
      <c r="B56" s="2">
        <f>Annual_Report!B52</f>
        <v>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4">
        <f t="shared" si="5"/>
        <v>0</v>
      </c>
      <c r="AI56" s="4">
        <f t="shared" si="6"/>
        <v>0</v>
      </c>
      <c r="AJ56" s="4">
        <f t="shared" si="7"/>
        <v>0</v>
      </c>
      <c r="AK56" s="4">
        <f t="shared" si="8"/>
        <v>0</v>
      </c>
    </row>
    <row r="57" spans="1:37" x14ac:dyDescent="0.25">
      <c r="A57" s="2">
        <v>52</v>
      </c>
      <c r="B57" s="2">
        <f>Annual_Report!B53</f>
        <v>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4">
        <f t="shared" si="5"/>
        <v>0</v>
      </c>
      <c r="AI57" s="4">
        <f t="shared" si="6"/>
        <v>0</v>
      </c>
      <c r="AJ57" s="4">
        <f t="shared" si="7"/>
        <v>0</v>
      </c>
      <c r="AK57" s="4">
        <f t="shared" si="8"/>
        <v>0</v>
      </c>
    </row>
    <row r="58" spans="1:37" x14ac:dyDescent="0.25">
      <c r="A58" s="2">
        <v>53</v>
      </c>
      <c r="B58" s="2">
        <f>Annual_Report!B54</f>
        <v>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4">
        <f t="shared" si="5"/>
        <v>0</v>
      </c>
      <c r="AI58" s="4">
        <f t="shared" si="6"/>
        <v>0</v>
      </c>
      <c r="AJ58" s="4">
        <f t="shared" si="7"/>
        <v>0</v>
      </c>
      <c r="AK58" s="4">
        <f t="shared" si="8"/>
        <v>0</v>
      </c>
    </row>
    <row r="59" spans="1:37" x14ac:dyDescent="0.25">
      <c r="A59" s="2">
        <v>54</v>
      </c>
      <c r="B59" s="2">
        <f>Annual_Report!B55</f>
        <v>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4">
        <f t="shared" si="5"/>
        <v>0</v>
      </c>
      <c r="AI59" s="4">
        <f t="shared" si="6"/>
        <v>0</v>
      </c>
      <c r="AJ59" s="4">
        <f t="shared" si="7"/>
        <v>0</v>
      </c>
      <c r="AK59" s="4">
        <f t="shared" si="8"/>
        <v>0</v>
      </c>
    </row>
    <row r="60" spans="1:37" x14ac:dyDescent="0.25">
      <c r="A60" s="2">
        <v>55</v>
      </c>
      <c r="B60" s="2">
        <f>Annual_Report!B56</f>
        <v>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4">
        <f t="shared" si="5"/>
        <v>0</v>
      </c>
      <c r="AI60" s="4">
        <f t="shared" si="6"/>
        <v>0</v>
      </c>
      <c r="AJ60" s="4">
        <f t="shared" si="7"/>
        <v>0</v>
      </c>
      <c r="AK60" s="4">
        <f t="shared" si="8"/>
        <v>0</v>
      </c>
    </row>
    <row r="61" spans="1:37" x14ac:dyDescent="0.25">
      <c r="A61" s="2">
        <v>56</v>
      </c>
      <c r="B61" s="2">
        <f>Annual_Report!B57</f>
        <v>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4">
        <f t="shared" si="5"/>
        <v>0</v>
      </c>
      <c r="AI61" s="4">
        <f t="shared" si="6"/>
        <v>0</v>
      </c>
      <c r="AJ61" s="4">
        <f t="shared" si="7"/>
        <v>0</v>
      </c>
      <c r="AK61" s="4">
        <f t="shared" si="8"/>
        <v>0</v>
      </c>
    </row>
    <row r="62" spans="1:37" x14ac:dyDescent="0.25">
      <c r="A62" s="2">
        <v>57</v>
      </c>
      <c r="B62" s="2">
        <f>Annual_Report!B58</f>
        <v>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4">
        <f t="shared" si="5"/>
        <v>0</v>
      </c>
      <c r="AI62" s="4">
        <f t="shared" si="6"/>
        <v>0</v>
      </c>
      <c r="AJ62" s="4">
        <f t="shared" si="7"/>
        <v>0</v>
      </c>
      <c r="AK62" s="4">
        <f t="shared" si="8"/>
        <v>0</v>
      </c>
    </row>
    <row r="63" spans="1:37" x14ac:dyDescent="0.25">
      <c r="A63" s="2">
        <v>58</v>
      </c>
      <c r="B63" s="2">
        <f>Annual_Report!B59</f>
        <v>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4">
        <f t="shared" si="5"/>
        <v>0</v>
      </c>
      <c r="AI63" s="4">
        <f t="shared" si="6"/>
        <v>0</v>
      </c>
      <c r="AJ63" s="4">
        <f t="shared" si="7"/>
        <v>0</v>
      </c>
      <c r="AK63" s="4">
        <f t="shared" si="8"/>
        <v>0</v>
      </c>
    </row>
    <row r="64" spans="1:37" x14ac:dyDescent="0.25">
      <c r="A64" s="2">
        <v>59</v>
      </c>
      <c r="B64" s="2">
        <f>Annual_Report!B60</f>
        <v>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4">
        <f t="shared" si="5"/>
        <v>0</v>
      </c>
      <c r="AI64" s="4">
        <f t="shared" si="6"/>
        <v>0</v>
      </c>
      <c r="AJ64" s="4">
        <f t="shared" si="7"/>
        <v>0</v>
      </c>
      <c r="AK64" s="4">
        <f t="shared" si="8"/>
        <v>0</v>
      </c>
    </row>
    <row r="65" spans="1:37" x14ac:dyDescent="0.25">
      <c r="A65" s="2">
        <v>60</v>
      </c>
      <c r="B65" s="2">
        <f>Annual_Report!B61</f>
        <v>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4">
        <f t="shared" si="5"/>
        <v>0</v>
      </c>
      <c r="AI65" s="4">
        <f t="shared" si="6"/>
        <v>0</v>
      </c>
      <c r="AJ65" s="4">
        <f t="shared" si="7"/>
        <v>0</v>
      </c>
      <c r="AK65" s="4">
        <f t="shared" si="8"/>
        <v>0</v>
      </c>
    </row>
    <row r="66" spans="1:37" x14ac:dyDescent="0.25">
      <c r="A66" s="2">
        <v>61</v>
      </c>
      <c r="B66" s="2">
        <f>Annual_Report!B62</f>
        <v>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4">
        <f t="shared" si="5"/>
        <v>0</v>
      </c>
      <c r="AI66" s="4">
        <f t="shared" si="6"/>
        <v>0</v>
      </c>
      <c r="AJ66" s="4">
        <f t="shared" si="7"/>
        <v>0</v>
      </c>
      <c r="AK66" s="4">
        <f t="shared" si="8"/>
        <v>0</v>
      </c>
    </row>
    <row r="67" spans="1:37" x14ac:dyDescent="0.25">
      <c r="A67" s="2">
        <v>62</v>
      </c>
      <c r="B67" s="2">
        <f>Annual_Report!B63</f>
        <v>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4">
        <f t="shared" si="5"/>
        <v>0</v>
      </c>
      <c r="AI67" s="4">
        <f t="shared" si="6"/>
        <v>0</v>
      </c>
      <c r="AJ67" s="4">
        <f t="shared" si="7"/>
        <v>0</v>
      </c>
      <c r="AK67" s="4">
        <f t="shared" si="8"/>
        <v>0</v>
      </c>
    </row>
    <row r="68" spans="1:37" x14ac:dyDescent="0.25">
      <c r="A68" s="2">
        <v>63</v>
      </c>
      <c r="B68" s="2">
        <f>Annual_Report!B64</f>
        <v>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4">
        <f t="shared" si="5"/>
        <v>0</v>
      </c>
      <c r="AI68" s="4">
        <f t="shared" si="6"/>
        <v>0</v>
      </c>
      <c r="AJ68" s="4">
        <f t="shared" si="7"/>
        <v>0</v>
      </c>
      <c r="AK68" s="4">
        <f t="shared" si="8"/>
        <v>0</v>
      </c>
    </row>
    <row r="69" spans="1:37" x14ac:dyDescent="0.25">
      <c r="A69" s="2">
        <v>64</v>
      </c>
      <c r="B69" s="2">
        <f>Annual_Report!B65</f>
        <v>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4">
        <f t="shared" si="5"/>
        <v>0</v>
      </c>
      <c r="AI69" s="4">
        <f t="shared" si="6"/>
        <v>0</v>
      </c>
      <c r="AJ69" s="4">
        <f t="shared" si="7"/>
        <v>0</v>
      </c>
      <c r="AK69" s="4">
        <f t="shared" si="8"/>
        <v>0</v>
      </c>
    </row>
    <row r="70" spans="1:37" x14ac:dyDescent="0.25">
      <c r="A70" s="2">
        <v>65</v>
      </c>
      <c r="B70" s="2">
        <f>Annual_Report!B66</f>
        <v>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4">
        <f t="shared" ref="AH70:AH105" si="9">COUNTIF($C70:$AG70, "ح")</f>
        <v>0</v>
      </c>
      <c r="AI70" s="4">
        <f t="shared" ref="AI70:AI105" si="10">COUNTIF($C70:$AG70, "غ")</f>
        <v>0</v>
      </c>
      <c r="AJ70" s="4">
        <f t="shared" ref="AJ70:AJ105" si="11">COUNTIF($C70:$AG70, "ج")</f>
        <v>0</v>
      </c>
      <c r="AK70" s="4">
        <f t="shared" ref="AK70:AK105" si="12">COUNTIF($C70:$AG70, "م")</f>
        <v>0</v>
      </c>
    </row>
    <row r="71" spans="1:37" x14ac:dyDescent="0.25">
      <c r="A71" s="2">
        <v>66</v>
      </c>
      <c r="B71" s="2">
        <f>Annual_Report!B67</f>
        <v>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4">
        <f t="shared" si="9"/>
        <v>0</v>
      </c>
      <c r="AI71" s="4">
        <f t="shared" si="10"/>
        <v>0</v>
      </c>
      <c r="AJ71" s="4">
        <f t="shared" si="11"/>
        <v>0</v>
      </c>
      <c r="AK71" s="4">
        <f t="shared" si="12"/>
        <v>0</v>
      </c>
    </row>
    <row r="72" spans="1:37" x14ac:dyDescent="0.25">
      <c r="A72" s="2">
        <v>67</v>
      </c>
      <c r="B72" s="2">
        <f>Annual_Report!B68</f>
        <v>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4">
        <f t="shared" si="9"/>
        <v>0</v>
      </c>
      <c r="AI72" s="4">
        <f t="shared" si="10"/>
        <v>0</v>
      </c>
      <c r="AJ72" s="4">
        <f t="shared" si="11"/>
        <v>0</v>
      </c>
      <c r="AK72" s="4">
        <f t="shared" si="12"/>
        <v>0</v>
      </c>
    </row>
    <row r="73" spans="1:37" x14ac:dyDescent="0.25">
      <c r="A73" s="2">
        <v>68</v>
      </c>
      <c r="B73" s="2">
        <f>Annual_Report!B69</f>
        <v>0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4">
        <f t="shared" si="9"/>
        <v>0</v>
      </c>
      <c r="AI73" s="4">
        <f t="shared" si="10"/>
        <v>0</v>
      </c>
      <c r="AJ73" s="4">
        <f t="shared" si="11"/>
        <v>0</v>
      </c>
      <c r="AK73" s="4">
        <f t="shared" si="12"/>
        <v>0</v>
      </c>
    </row>
    <row r="74" spans="1:37" x14ac:dyDescent="0.25">
      <c r="A74" s="2">
        <v>69</v>
      </c>
      <c r="B74" s="2">
        <f>Annual_Report!B70</f>
        <v>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4">
        <f t="shared" si="9"/>
        <v>0</v>
      </c>
      <c r="AI74" s="4">
        <f t="shared" si="10"/>
        <v>0</v>
      </c>
      <c r="AJ74" s="4">
        <f t="shared" si="11"/>
        <v>0</v>
      </c>
      <c r="AK74" s="4">
        <f t="shared" si="12"/>
        <v>0</v>
      </c>
    </row>
    <row r="75" spans="1:37" x14ac:dyDescent="0.25">
      <c r="A75" s="2">
        <v>70</v>
      </c>
      <c r="B75" s="2">
        <f>Annual_Report!B71</f>
        <v>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4">
        <f t="shared" si="9"/>
        <v>0</v>
      </c>
      <c r="AI75" s="4">
        <f t="shared" si="10"/>
        <v>0</v>
      </c>
      <c r="AJ75" s="4">
        <f t="shared" si="11"/>
        <v>0</v>
      </c>
      <c r="AK75" s="4">
        <f t="shared" si="12"/>
        <v>0</v>
      </c>
    </row>
    <row r="76" spans="1:37" x14ac:dyDescent="0.25">
      <c r="A76" s="2">
        <v>71</v>
      </c>
      <c r="B76" s="2">
        <f>Annual_Report!B72</f>
        <v>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4">
        <f t="shared" si="9"/>
        <v>0</v>
      </c>
      <c r="AI76" s="4">
        <f t="shared" si="10"/>
        <v>0</v>
      </c>
      <c r="AJ76" s="4">
        <f t="shared" si="11"/>
        <v>0</v>
      </c>
      <c r="AK76" s="4">
        <f t="shared" si="12"/>
        <v>0</v>
      </c>
    </row>
    <row r="77" spans="1:37" x14ac:dyDescent="0.25">
      <c r="A77" s="2">
        <v>72</v>
      </c>
      <c r="B77" s="2">
        <f>Annual_Report!B73</f>
        <v>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4">
        <f t="shared" si="9"/>
        <v>0</v>
      </c>
      <c r="AI77" s="4">
        <f t="shared" si="10"/>
        <v>0</v>
      </c>
      <c r="AJ77" s="4">
        <f t="shared" si="11"/>
        <v>0</v>
      </c>
      <c r="AK77" s="4">
        <f t="shared" si="12"/>
        <v>0</v>
      </c>
    </row>
    <row r="78" spans="1:37" x14ac:dyDescent="0.25">
      <c r="A78" s="2">
        <v>73</v>
      </c>
      <c r="B78" s="2">
        <f>Annual_Report!B74</f>
        <v>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4">
        <f t="shared" si="9"/>
        <v>0</v>
      </c>
      <c r="AI78" s="4">
        <f t="shared" si="10"/>
        <v>0</v>
      </c>
      <c r="AJ78" s="4">
        <f t="shared" si="11"/>
        <v>0</v>
      </c>
      <c r="AK78" s="4">
        <f t="shared" si="12"/>
        <v>0</v>
      </c>
    </row>
    <row r="79" spans="1:37" x14ac:dyDescent="0.25">
      <c r="A79" s="2">
        <v>74</v>
      </c>
      <c r="B79" s="2">
        <f>Annual_Report!B75</f>
        <v>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4">
        <f t="shared" si="9"/>
        <v>0</v>
      </c>
      <c r="AI79" s="4">
        <f t="shared" si="10"/>
        <v>0</v>
      </c>
      <c r="AJ79" s="4">
        <f t="shared" si="11"/>
        <v>0</v>
      </c>
      <c r="AK79" s="4">
        <f t="shared" si="12"/>
        <v>0</v>
      </c>
    </row>
    <row r="80" spans="1:37" x14ac:dyDescent="0.25">
      <c r="A80" s="2">
        <v>75</v>
      </c>
      <c r="B80" s="2">
        <f>Annual_Report!B76</f>
        <v>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4">
        <f t="shared" si="9"/>
        <v>0</v>
      </c>
      <c r="AI80" s="4">
        <f t="shared" si="10"/>
        <v>0</v>
      </c>
      <c r="AJ80" s="4">
        <f t="shared" si="11"/>
        <v>0</v>
      </c>
      <c r="AK80" s="4">
        <f t="shared" si="12"/>
        <v>0</v>
      </c>
    </row>
    <row r="81" spans="1:37" x14ac:dyDescent="0.25">
      <c r="A81" s="2">
        <v>76</v>
      </c>
      <c r="B81" s="2">
        <f>Annual_Report!B77</f>
        <v>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4">
        <f t="shared" si="9"/>
        <v>0</v>
      </c>
      <c r="AI81" s="4">
        <f t="shared" si="10"/>
        <v>0</v>
      </c>
      <c r="AJ81" s="4">
        <f t="shared" si="11"/>
        <v>0</v>
      </c>
      <c r="AK81" s="4">
        <f t="shared" si="12"/>
        <v>0</v>
      </c>
    </row>
    <row r="82" spans="1:37" x14ac:dyDescent="0.25">
      <c r="A82" s="2">
        <v>77</v>
      </c>
      <c r="B82" s="2">
        <f>Annual_Report!B78</f>
        <v>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4">
        <f t="shared" si="9"/>
        <v>0</v>
      </c>
      <c r="AI82" s="4">
        <f t="shared" si="10"/>
        <v>0</v>
      </c>
      <c r="AJ82" s="4">
        <f t="shared" si="11"/>
        <v>0</v>
      </c>
      <c r="AK82" s="4">
        <f t="shared" si="12"/>
        <v>0</v>
      </c>
    </row>
    <row r="83" spans="1:37" x14ac:dyDescent="0.25">
      <c r="A83" s="2">
        <v>78</v>
      </c>
      <c r="B83" s="2">
        <f>Annual_Report!B79</f>
        <v>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4">
        <f t="shared" si="9"/>
        <v>0</v>
      </c>
      <c r="AI83" s="4">
        <f t="shared" si="10"/>
        <v>0</v>
      </c>
      <c r="AJ83" s="4">
        <f t="shared" si="11"/>
        <v>0</v>
      </c>
      <c r="AK83" s="4">
        <f t="shared" si="12"/>
        <v>0</v>
      </c>
    </row>
    <row r="84" spans="1:37" x14ac:dyDescent="0.25">
      <c r="A84" s="2">
        <v>79</v>
      </c>
      <c r="B84" s="2">
        <f>Annual_Report!B80</f>
        <v>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4">
        <f t="shared" si="9"/>
        <v>0</v>
      </c>
      <c r="AI84" s="4">
        <f t="shared" si="10"/>
        <v>0</v>
      </c>
      <c r="AJ84" s="4">
        <f t="shared" si="11"/>
        <v>0</v>
      </c>
      <c r="AK84" s="4">
        <f t="shared" si="12"/>
        <v>0</v>
      </c>
    </row>
    <row r="85" spans="1:37" x14ac:dyDescent="0.25">
      <c r="A85" s="2">
        <v>80</v>
      </c>
      <c r="B85" s="2">
        <f>Annual_Report!B81</f>
        <v>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4">
        <f t="shared" si="9"/>
        <v>0</v>
      </c>
      <c r="AI85" s="4">
        <f t="shared" si="10"/>
        <v>0</v>
      </c>
      <c r="AJ85" s="4">
        <f t="shared" si="11"/>
        <v>0</v>
      </c>
      <c r="AK85" s="4">
        <f t="shared" si="12"/>
        <v>0</v>
      </c>
    </row>
    <row r="86" spans="1:37" x14ac:dyDescent="0.25">
      <c r="A86" s="2">
        <v>81</v>
      </c>
      <c r="B86" s="2">
        <f>Annual_Report!B82</f>
        <v>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4">
        <f t="shared" si="9"/>
        <v>0</v>
      </c>
      <c r="AI86" s="4">
        <f t="shared" si="10"/>
        <v>0</v>
      </c>
      <c r="AJ86" s="4">
        <f t="shared" si="11"/>
        <v>0</v>
      </c>
      <c r="AK86" s="4">
        <f t="shared" si="12"/>
        <v>0</v>
      </c>
    </row>
    <row r="87" spans="1:37" x14ac:dyDescent="0.25">
      <c r="A87" s="2">
        <v>82</v>
      </c>
      <c r="B87" s="2">
        <f>Annual_Report!B83</f>
        <v>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4">
        <f t="shared" si="9"/>
        <v>0</v>
      </c>
      <c r="AI87" s="4">
        <f t="shared" si="10"/>
        <v>0</v>
      </c>
      <c r="AJ87" s="4">
        <f t="shared" si="11"/>
        <v>0</v>
      </c>
      <c r="AK87" s="4">
        <f t="shared" si="12"/>
        <v>0</v>
      </c>
    </row>
    <row r="88" spans="1:37" x14ac:dyDescent="0.25">
      <c r="A88" s="2">
        <v>83</v>
      </c>
      <c r="B88" s="2">
        <f>Annual_Report!B84</f>
        <v>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4">
        <f t="shared" si="9"/>
        <v>0</v>
      </c>
      <c r="AI88" s="4">
        <f t="shared" si="10"/>
        <v>0</v>
      </c>
      <c r="AJ88" s="4">
        <f t="shared" si="11"/>
        <v>0</v>
      </c>
      <c r="AK88" s="4">
        <f t="shared" si="12"/>
        <v>0</v>
      </c>
    </row>
    <row r="89" spans="1:37" x14ac:dyDescent="0.25">
      <c r="A89" s="2">
        <v>84</v>
      </c>
      <c r="B89" s="2">
        <f>Annual_Report!B85</f>
        <v>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4">
        <f t="shared" si="9"/>
        <v>0</v>
      </c>
      <c r="AI89" s="4">
        <f t="shared" si="10"/>
        <v>0</v>
      </c>
      <c r="AJ89" s="4">
        <f t="shared" si="11"/>
        <v>0</v>
      </c>
      <c r="AK89" s="4">
        <f t="shared" si="12"/>
        <v>0</v>
      </c>
    </row>
    <row r="90" spans="1:37" x14ac:dyDescent="0.25">
      <c r="A90" s="2">
        <v>85</v>
      </c>
      <c r="B90" s="2">
        <f>Annual_Report!B86</f>
        <v>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4">
        <f t="shared" si="9"/>
        <v>0</v>
      </c>
      <c r="AI90" s="4">
        <f t="shared" si="10"/>
        <v>0</v>
      </c>
      <c r="AJ90" s="4">
        <f t="shared" si="11"/>
        <v>0</v>
      </c>
      <c r="AK90" s="4">
        <f t="shared" si="12"/>
        <v>0</v>
      </c>
    </row>
    <row r="91" spans="1:37" x14ac:dyDescent="0.25">
      <c r="A91" s="2">
        <v>86</v>
      </c>
      <c r="B91" s="2">
        <f>Annual_Report!B87</f>
        <v>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4">
        <f t="shared" si="9"/>
        <v>0</v>
      </c>
      <c r="AI91" s="4">
        <f t="shared" si="10"/>
        <v>0</v>
      </c>
      <c r="AJ91" s="4">
        <f t="shared" si="11"/>
        <v>0</v>
      </c>
      <c r="AK91" s="4">
        <f t="shared" si="12"/>
        <v>0</v>
      </c>
    </row>
    <row r="92" spans="1:37" x14ac:dyDescent="0.25">
      <c r="A92" s="2">
        <v>87</v>
      </c>
      <c r="B92" s="2">
        <f>Annual_Report!B88</f>
        <v>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4">
        <f t="shared" si="9"/>
        <v>0</v>
      </c>
      <c r="AI92" s="4">
        <f t="shared" si="10"/>
        <v>0</v>
      </c>
      <c r="AJ92" s="4">
        <f t="shared" si="11"/>
        <v>0</v>
      </c>
      <c r="AK92" s="4">
        <f t="shared" si="12"/>
        <v>0</v>
      </c>
    </row>
    <row r="93" spans="1:37" x14ac:dyDescent="0.25">
      <c r="A93" s="2">
        <v>88</v>
      </c>
      <c r="B93" s="2">
        <f>Annual_Report!B89</f>
        <v>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4">
        <f t="shared" si="9"/>
        <v>0</v>
      </c>
      <c r="AI93" s="4">
        <f t="shared" si="10"/>
        <v>0</v>
      </c>
      <c r="AJ93" s="4">
        <f t="shared" si="11"/>
        <v>0</v>
      </c>
      <c r="AK93" s="4">
        <f t="shared" si="12"/>
        <v>0</v>
      </c>
    </row>
    <row r="94" spans="1:37" x14ac:dyDescent="0.25">
      <c r="A94" s="2">
        <v>89</v>
      </c>
      <c r="B94" s="2">
        <f>Annual_Report!B90</f>
        <v>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4">
        <f t="shared" si="9"/>
        <v>0</v>
      </c>
      <c r="AI94" s="4">
        <f t="shared" si="10"/>
        <v>0</v>
      </c>
      <c r="AJ94" s="4">
        <f t="shared" si="11"/>
        <v>0</v>
      </c>
      <c r="AK94" s="4">
        <f t="shared" si="12"/>
        <v>0</v>
      </c>
    </row>
    <row r="95" spans="1:37" x14ac:dyDescent="0.25">
      <c r="A95" s="2">
        <v>90</v>
      </c>
      <c r="B95" s="2">
        <f>Annual_Report!B91</f>
        <v>0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4">
        <f t="shared" si="9"/>
        <v>0</v>
      </c>
      <c r="AI95" s="4">
        <f t="shared" si="10"/>
        <v>0</v>
      </c>
      <c r="AJ95" s="4">
        <f t="shared" si="11"/>
        <v>0</v>
      </c>
      <c r="AK95" s="4">
        <f t="shared" si="12"/>
        <v>0</v>
      </c>
    </row>
    <row r="96" spans="1:37" x14ac:dyDescent="0.25">
      <c r="A96" s="2">
        <v>91</v>
      </c>
      <c r="B96" s="2">
        <f>Annual_Report!B92</f>
        <v>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4">
        <f t="shared" si="9"/>
        <v>0</v>
      </c>
      <c r="AI96" s="4">
        <f t="shared" si="10"/>
        <v>0</v>
      </c>
      <c r="AJ96" s="4">
        <f t="shared" si="11"/>
        <v>0</v>
      </c>
      <c r="AK96" s="4">
        <f t="shared" si="12"/>
        <v>0</v>
      </c>
    </row>
    <row r="97" spans="1:37" x14ac:dyDescent="0.25">
      <c r="A97" s="2">
        <v>92</v>
      </c>
      <c r="B97" s="2">
        <f>Annual_Report!B93</f>
        <v>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4">
        <f t="shared" si="9"/>
        <v>0</v>
      </c>
      <c r="AI97" s="4">
        <f t="shared" si="10"/>
        <v>0</v>
      </c>
      <c r="AJ97" s="4">
        <f t="shared" si="11"/>
        <v>0</v>
      </c>
      <c r="AK97" s="4">
        <f t="shared" si="12"/>
        <v>0</v>
      </c>
    </row>
    <row r="98" spans="1:37" x14ac:dyDescent="0.25">
      <c r="A98" s="2">
        <v>93</v>
      </c>
      <c r="B98" s="2">
        <f>Annual_Report!B94</f>
        <v>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4">
        <f t="shared" si="9"/>
        <v>0</v>
      </c>
      <c r="AI98" s="4">
        <f t="shared" si="10"/>
        <v>0</v>
      </c>
      <c r="AJ98" s="4">
        <f t="shared" si="11"/>
        <v>0</v>
      </c>
      <c r="AK98" s="4">
        <f t="shared" si="12"/>
        <v>0</v>
      </c>
    </row>
    <row r="99" spans="1:37" x14ac:dyDescent="0.25">
      <c r="A99" s="2">
        <v>94</v>
      </c>
      <c r="B99" s="2">
        <f>Annual_Report!B95</f>
        <v>0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4">
        <f t="shared" si="9"/>
        <v>0</v>
      </c>
      <c r="AI99" s="4">
        <f t="shared" si="10"/>
        <v>0</v>
      </c>
      <c r="AJ99" s="4">
        <f t="shared" si="11"/>
        <v>0</v>
      </c>
      <c r="AK99" s="4">
        <f t="shared" si="12"/>
        <v>0</v>
      </c>
    </row>
    <row r="100" spans="1:37" x14ac:dyDescent="0.25">
      <c r="A100" s="2">
        <v>95</v>
      </c>
      <c r="B100" s="2">
        <f>Annual_Report!B96</f>
        <v>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4">
        <f t="shared" si="9"/>
        <v>0</v>
      </c>
      <c r="AI100" s="4">
        <f t="shared" si="10"/>
        <v>0</v>
      </c>
      <c r="AJ100" s="4">
        <f t="shared" si="11"/>
        <v>0</v>
      </c>
      <c r="AK100" s="4">
        <f t="shared" si="12"/>
        <v>0</v>
      </c>
    </row>
    <row r="101" spans="1:37" x14ac:dyDescent="0.25">
      <c r="A101" s="2">
        <v>96</v>
      </c>
      <c r="B101" s="2">
        <f>Annual_Report!B97</f>
        <v>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4">
        <f t="shared" si="9"/>
        <v>0</v>
      </c>
      <c r="AI101" s="4">
        <f t="shared" si="10"/>
        <v>0</v>
      </c>
      <c r="AJ101" s="4">
        <f t="shared" si="11"/>
        <v>0</v>
      </c>
      <c r="AK101" s="4">
        <f t="shared" si="12"/>
        <v>0</v>
      </c>
    </row>
    <row r="102" spans="1:37" x14ac:dyDescent="0.25">
      <c r="A102" s="2">
        <v>97</v>
      </c>
      <c r="B102" s="2">
        <f>Annual_Report!B98</f>
        <v>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4">
        <f t="shared" si="9"/>
        <v>0</v>
      </c>
      <c r="AI102" s="4">
        <f t="shared" si="10"/>
        <v>0</v>
      </c>
      <c r="AJ102" s="4">
        <f t="shared" si="11"/>
        <v>0</v>
      </c>
      <c r="AK102" s="4">
        <f t="shared" si="12"/>
        <v>0</v>
      </c>
    </row>
    <row r="103" spans="1:37" x14ac:dyDescent="0.25">
      <c r="A103" s="2">
        <v>98</v>
      </c>
      <c r="B103" s="2">
        <f>Annual_Report!B99</f>
        <v>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4">
        <f t="shared" si="9"/>
        <v>0</v>
      </c>
      <c r="AI103" s="4">
        <f t="shared" si="10"/>
        <v>0</v>
      </c>
      <c r="AJ103" s="4">
        <f t="shared" si="11"/>
        <v>0</v>
      </c>
      <c r="AK103" s="4">
        <f t="shared" si="12"/>
        <v>0</v>
      </c>
    </row>
    <row r="104" spans="1:37" x14ac:dyDescent="0.25">
      <c r="A104" s="2">
        <v>99</v>
      </c>
      <c r="B104" s="2">
        <f>Annual_Report!B100</f>
        <v>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4">
        <f t="shared" si="9"/>
        <v>0</v>
      </c>
      <c r="AI104" s="4">
        <f t="shared" si="10"/>
        <v>0</v>
      </c>
      <c r="AJ104" s="4">
        <f t="shared" si="11"/>
        <v>0</v>
      </c>
      <c r="AK104" s="4">
        <f t="shared" si="12"/>
        <v>0</v>
      </c>
    </row>
    <row r="105" spans="1:37" x14ac:dyDescent="0.25">
      <c r="A105" s="2">
        <v>100</v>
      </c>
      <c r="B105" s="2">
        <f>Annual_Report!B101</f>
        <v>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4">
        <f t="shared" si="9"/>
        <v>0</v>
      </c>
      <c r="AI105" s="4">
        <f t="shared" si="10"/>
        <v>0</v>
      </c>
      <c r="AJ105" s="4">
        <f t="shared" si="11"/>
        <v>0</v>
      </c>
      <c r="AK105" s="4">
        <f t="shared" si="12"/>
        <v>0</v>
      </c>
    </row>
  </sheetData>
  <conditionalFormatting sqref="C6:AG105">
    <cfRule type="cellIs" dxfId="65" priority="1" stopIfTrue="1" operator="equal">
      <formula>"ح"</formula>
    </cfRule>
    <cfRule type="cellIs" dxfId="64" priority="2" stopIfTrue="1" operator="equal">
      <formula>"غ"</formula>
    </cfRule>
    <cfRule type="cellIs" dxfId="63" priority="3" stopIfTrue="1" operator="equal">
      <formula>"ج"</formula>
    </cfRule>
    <cfRule type="cellIs" dxfId="62" priority="4" stopIfTrue="1" operator="equal">
      <formula>"م"</formula>
    </cfRule>
    <cfRule type="cellIs" dxfId="61" priority="5" stopIfTrue="1" operator="equal">
      <formula>"ج"</formula>
    </cfRule>
    <cfRule type="cellIs" dxfId="60" priority="6" stopIfTrue="1" operator="equal">
      <formula>"م"</formula>
    </cfRule>
  </conditionalFormatting>
  <dataValidations count="1">
    <dataValidation type="list" allowBlank="1" showErrorMessage="1" errorTitle="خطأ في الإدخال" error="يرجى استخدام الحروف الصحيحة: ح - غ - ج - م" sqref="C6:AG105" xr:uid="{D9C47F91-7EA9-48C9-9D3E-CFACEB283992}">
      <formula1>"ح,غ,ج,م"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F3FE7-6136-495F-8C52-C38DA8ED88C1}">
  <sheetPr codeName="Sheet83"/>
  <dimension ref="A1:AK105"/>
  <sheetViews>
    <sheetView rightToLeft="1" workbookViewId="0"/>
  </sheetViews>
  <sheetFormatPr defaultRowHeight="15" x14ac:dyDescent="0.25"/>
  <cols>
    <col min="1" max="1" width="4.7109375" customWidth="1"/>
    <col min="2" max="2" width="25.7109375" customWidth="1"/>
    <col min="3" max="33" width="4.7109375" customWidth="1"/>
    <col min="34" max="34" width="5.85546875" bestFit="1" customWidth="1"/>
    <col min="35" max="35" width="4.7109375" bestFit="1" customWidth="1"/>
    <col min="36" max="36" width="4.5703125" bestFit="1" customWidth="1"/>
    <col min="37" max="37" width="6" bestFit="1" customWidth="1"/>
  </cols>
  <sheetData>
    <row r="1" spans="1:37" x14ac:dyDescent="0.25">
      <c r="A1" s="6"/>
      <c r="B1" s="6"/>
      <c r="C1" s="5" t="s">
        <v>9</v>
      </c>
      <c r="D1" s="5" t="s">
        <v>0</v>
      </c>
      <c r="E1" s="5" t="s">
        <v>1</v>
      </c>
      <c r="F1" s="5" t="s">
        <v>10</v>
      </c>
      <c r="G1" s="5" t="s">
        <v>11</v>
      </c>
    </row>
    <row r="2" spans="1:37" x14ac:dyDescent="0.25">
      <c r="A2" s="6"/>
      <c r="B2" s="6"/>
      <c r="C2" s="5" t="s">
        <v>12</v>
      </c>
      <c r="D2" s="5" t="s">
        <v>6</v>
      </c>
      <c r="E2" s="5" t="s">
        <v>7</v>
      </c>
      <c r="F2" s="5" t="s">
        <v>8</v>
      </c>
      <c r="G2" s="5" t="s">
        <v>2</v>
      </c>
    </row>
    <row r="4" spans="1:37" ht="65.099999999999994" customHeight="1" x14ac:dyDescent="0.25">
      <c r="A4" s="2" t="s">
        <v>2</v>
      </c>
      <c r="B4" s="2" t="s">
        <v>3</v>
      </c>
      <c r="C4" s="1" t="str">
        <f>CHOOSE(WEEKDAY(C5), "الأحد","الاثنين","الثلاثاء","الأربعاء","الخميس","الجمعة","السبت")</f>
        <v>الأحد</v>
      </c>
      <c r="D4" s="1" t="str">
        <f t="shared" ref="D4:AG4" si="0">CHOOSE(WEEKDAY(D5), "الأحد","الاثنين","الثلاثاء","الأربعاء","الخميس","الجمعة","السبت")</f>
        <v>الاثنين</v>
      </c>
      <c r="E4" s="1" t="str">
        <f t="shared" si="0"/>
        <v>الثلاثاء</v>
      </c>
      <c r="F4" s="1" t="str">
        <f t="shared" si="0"/>
        <v>الأربعاء</v>
      </c>
      <c r="G4" s="1" t="str">
        <f t="shared" si="0"/>
        <v>الخميس</v>
      </c>
      <c r="H4" s="1" t="str">
        <f t="shared" si="0"/>
        <v>الجمعة</v>
      </c>
      <c r="I4" s="1" t="str">
        <f t="shared" si="0"/>
        <v>السبت</v>
      </c>
      <c r="J4" s="1" t="str">
        <f t="shared" si="0"/>
        <v>الأحد</v>
      </c>
      <c r="K4" s="1" t="str">
        <f t="shared" si="0"/>
        <v>الاثنين</v>
      </c>
      <c r="L4" s="1" t="str">
        <f t="shared" si="0"/>
        <v>الثلاثاء</v>
      </c>
      <c r="M4" s="1" t="str">
        <f t="shared" si="0"/>
        <v>الأربعاء</v>
      </c>
      <c r="N4" s="1" t="str">
        <f t="shared" si="0"/>
        <v>الخميس</v>
      </c>
      <c r="O4" s="1" t="str">
        <f t="shared" si="0"/>
        <v>الجمعة</v>
      </c>
      <c r="P4" s="1" t="str">
        <f t="shared" si="0"/>
        <v>السبت</v>
      </c>
      <c r="Q4" s="1" t="str">
        <f t="shared" si="0"/>
        <v>الأحد</v>
      </c>
      <c r="R4" s="1" t="str">
        <f t="shared" si="0"/>
        <v>الاثنين</v>
      </c>
      <c r="S4" s="1" t="str">
        <f t="shared" si="0"/>
        <v>الثلاثاء</v>
      </c>
      <c r="T4" s="1" t="str">
        <f t="shared" si="0"/>
        <v>الأربعاء</v>
      </c>
      <c r="U4" s="1" t="str">
        <f t="shared" si="0"/>
        <v>الخميس</v>
      </c>
      <c r="V4" s="1" t="str">
        <f t="shared" si="0"/>
        <v>الجمعة</v>
      </c>
      <c r="W4" s="1" t="str">
        <f t="shared" si="0"/>
        <v>السبت</v>
      </c>
      <c r="X4" s="1" t="str">
        <f t="shared" si="0"/>
        <v>الأحد</v>
      </c>
      <c r="Y4" s="1" t="str">
        <f t="shared" si="0"/>
        <v>الاثنين</v>
      </c>
      <c r="Z4" s="1" t="str">
        <f t="shared" si="0"/>
        <v>الثلاثاء</v>
      </c>
      <c r="AA4" s="1" t="str">
        <f t="shared" si="0"/>
        <v>الأربعاء</v>
      </c>
      <c r="AB4" s="1" t="str">
        <f t="shared" si="0"/>
        <v>الخميس</v>
      </c>
      <c r="AC4" s="1" t="str">
        <f t="shared" si="0"/>
        <v>الجمعة</v>
      </c>
      <c r="AD4" s="1" t="str">
        <f t="shared" si="0"/>
        <v>السبت</v>
      </c>
      <c r="AE4" s="1" t="str">
        <f t="shared" si="0"/>
        <v>الأحد</v>
      </c>
      <c r="AF4" s="1" t="str">
        <f t="shared" si="0"/>
        <v>الاثنين</v>
      </c>
      <c r="AG4" s="1" t="str">
        <f t="shared" si="0"/>
        <v>الثلاثاء</v>
      </c>
      <c r="AH4" s="9" t="s">
        <v>0</v>
      </c>
      <c r="AI4" s="9" t="s">
        <v>1</v>
      </c>
      <c r="AJ4" s="9" t="s">
        <v>10</v>
      </c>
      <c r="AK4" s="9" t="s">
        <v>11</v>
      </c>
    </row>
    <row r="5" spans="1:37" x14ac:dyDescent="0.25">
      <c r="A5" s="2"/>
      <c r="B5" s="2"/>
      <c r="C5" s="3" cm="1">
        <f t="array" ref="C5:AG5">_xlfn.SEQUENCE(1, DAY(EOMONTH(DATE(2026,3,1),0)), DATE(2026,3,1))</f>
        <v>46082</v>
      </c>
      <c r="D5" s="3">
        <v>46083</v>
      </c>
      <c r="E5" s="3">
        <v>46084</v>
      </c>
      <c r="F5" s="3">
        <v>46085</v>
      </c>
      <c r="G5" s="3">
        <v>46086</v>
      </c>
      <c r="H5" s="3">
        <v>46087</v>
      </c>
      <c r="I5" s="3">
        <v>46088</v>
      </c>
      <c r="J5" s="3">
        <v>46089</v>
      </c>
      <c r="K5" s="3">
        <v>46090</v>
      </c>
      <c r="L5" s="3">
        <v>46091</v>
      </c>
      <c r="M5" s="3">
        <v>46092</v>
      </c>
      <c r="N5" s="3">
        <v>46093</v>
      </c>
      <c r="O5" s="3">
        <v>46094</v>
      </c>
      <c r="P5" s="3">
        <v>46095</v>
      </c>
      <c r="Q5" s="3">
        <v>46096</v>
      </c>
      <c r="R5" s="3">
        <v>46097</v>
      </c>
      <c r="S5" s="3">
        <v>46098</v>
      </c>
      <c r="T5" s="3">
        <v>46099</v>
      </c>
      <c r="U5" s="3">
        <v>46100</v>
      </c>
      <c r="V5" s="3">
        <v>46101</v>
      </c>
      <c r="W5" s="3">
        <v>46102</v>
      </c>
      <c r="X5" s="3">
        <v>46103</v>
      </c>
      <c r="Y5" s="3">
        <v>46104</v>
      </c>
      <c r="Z5" s="3">
        <v>46105</v>
      </c>
      <c r="AA5" s="3">
        <v>46106</v>
      </c>
      <c r="AB5" s="3">
        <v>46107</v>
      </c>
      <c r="AC5" s="3">
        <v>46108</v>
      </c>
      <c r="AD5" s="3">
        <v>46109</v>
      </c>
      <c r="AE5" s="3">
        <v>46110</v>
      </c>
      <c r="AF5" s="3">
        <v>46111</v>
      </c>
      <c r="AG5" s="3">
        <v>46112</v>
      </c>
      <c r="AH5" s="4"/>
      <c r="AI5" s="4"/>
      <c r="AJ5" s="4"/>
      <c r="AK5" s="4"/>
    </row>
    <row r="6" spans="1:37" x14ac:dyDescent="0.25">
      <c r="A6" s="2">
        <v>1</v>
      </c>
      <c r="B6" s="2">
        <f>Annual_Report!B2</f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4">
        <f t="shared" ref="AH6:AH37" si="1">COUNTIF($C6:$AG6, "ح")</f>
        <v>0</v>
      </c>
      <c r="AI6" s="4">
        <f t="shared" ref="AI6:AI37" si="2">COUNTIF($C6:$AG6, "غ")</f>
        <v>0</v>
      </c>
      <c r="AJ6" s="4">
        <f t="shared" ref="AJ6:AJ37" si="3">COUNTIF($C6:$AG6, "ج")</f>
        <v>0</v>
      </c>
      <c r="AK6" s="4">
        <f t="shared" ref="AK6:AK37" si="4">COUNTIF($C6:$AG6, "م")</f>
        <v>0</v>
      </c>
    </row>
    <row r="7" spans="1:37" x14ac:dyDescent="0.25">
      <c r="A7" s="2">
        <v>2</v>
      </c>
      <c r="B7" s="2">
        <f>Annual_Report!B3</f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4">
        <f t="shared" si="1"/>
        <v>0</v>
      </c>
      <c r="AI7" s="4">
        <f t="shared" si="2"/>
        <v>0</v>
      </c>
      <c r="AJ7" s="4">
        <f t="shared" si="3"/>
        <v>0</v>
      </c>
      <c r="AK7" s="4">
        <f t="shared" si="4"/>
        <v>0</v>
      </c>
    </row>
    <row r="8" spans="1:37" x14ac:dyDescent="0.25">
      <c r="A8" s="2">
        <v>3</v>
      </c>
      <c r="B8" s="2">
        <f>Annual_Report!B4</f>
        <v>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4">
        <f t="shared" si="1"/>
        <v>0</v>
      </c>
      <c r="AI8" s="4">
        <f t="shared" si="2"/>
        <v>0</v>
      </c>
      <c r="AJ8" s="4">
        <f t="shared" si="3"/>
        <v>0</v>
      </c>
      <c r="AK8" s="4">
        <f t="shared" si="4"/>
        <v>0</v>
      </c>
    </row>
    <row r="9" spans="1:37" x14ac:dyDescent="0.25">
      <c r="A9" s="2">
        <v>4</v>
      </c>
      <c r="B9" s="2">
        <f>Annual_Report!B5</f>
        <v>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4">
        <f t="shared" si="1"/>
        <v>0</v>
      </c>
      <c r="AI9" s="4">
        <f t="shared" si="2"/>
        <v>0</v>
      </c>
      <c r="AJ9" s="4">
        <f t="shared" si="3"/>
        <v>0</v>
      </c>
      <c r="AK9" s="4">
        <f t="shared" si="4"/>
        <v>0</v>
      </c>
    </row>
    <row r="10" spans="1:37" x14ac:dyDescent="0.25">
      <c r="A10" s="2">
        <v>5</v>
      </c>
      <c r="B10" s="2">
        <f>Annual_Report!B6</f>
        <v>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4">
        <f t="shared" si="1"/>
        <v>0</v>
      </c>
      <c r="AI10" s="4">
        <f t="shared" si="2"/>
        <v>0</v>
      </c>
      <c r="AJ10" s="4">
        <f t="shared" si="3"/>
        <v>0</v>
      </c>
      <c r="AK10" s="4">
        <f t="shared" si="4"/>
        <v>0</v>
      </c>
    </row>
    <row r="11" spans="1:37" x14ac:dyDescent="0.25">
      <c r="A11" s="2">
        <v>6</v>
      </c>
      <c r="B11" s="2">
        <f>Annual_Report!B7</f>
        <v>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4">
        <f t="shared" si="1"/>
        <v>0</v>
      </c>
      <c r="AI11" s="4">
        <f t="shared" si="2"/>
        <v>0</v>
      </c>
      <c r="AJ11" s="4">
        <f t="shared" si="3"/>
        <v>0</v>
      </c>
      <c r="AK11" s="4">
        <f t="shared" si="4"/>
        <v>0</v>
      </c>
    </row>
    <row r="12" spans="1:37" x14ac:dyDescent="0.25">
      <c r="A12" s="2">
        <v>7</v>
      </c>
      <c r="B12" s="2">
        <f>Annual_Report!B8</f>
        <v>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4">
        <f t="shared" si="1"/>
        <v>0</v>
      </c>
      <c r="AI12" s="4">
        <f t="shared" si="2"/>
        <v>0</v>
      </c>
      <c r="AJ12" s="4">
        <f t="shared" si="3"/>
        <v>0</v>
      </c>
      <c r="AK12" s="4">
        <f t="shared" si="4"/>
        <v>0</v>
      </c>
    </row>
    <row r="13" spans="1:37" x14ac:dyDescent="0.25">
      <c r="A13" s="2">
        <v>8</v>
      </c>
      <c r="B13" s="2">
        <f>Annual_Report!B9</f>
        <v>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4">
        <f t="shared" si="1"/>
        <v>0</v>
      </c>
      <c r="AI13" s="4">
        <f t="shared" si="2"/>
        <v>0</v>
      </c>
      <c r="AJ13" s="4">
        <f t="shared" si="3"/>
        <v>0</v>
      </c>
      <c r="AK13" s="4">
        <f t="shared" si="4"/>
        <v>0</v>
      </c>
    </row>
    <row r="14" spans="1:37" x14ac:dyDescent="0.25">
      <c r="A14" s="2">
        <v>9</v>
      </c>
      <c r="B14" s="2">
        <f>Annual_Report!B10</f>
        <v>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4">
        <f t="shared" si="1"/>
        <v>0</v>
      </c>
      <c r="AI14" s="4">
        <f t="shared" si="2"/>
        <v>0</v>
      </c>
      <c r="AJ14" s="4">
        <f t="shared" si="3"/>
        <v>0</v>
      </c>
      <c r="AK14" s="4">
        <f t="shared" si="4"/>
        <v>0</v>
      </c>
    </row>
    <row r="15" spans="1:37" x14ac:dyDescent="0.25">
      <c r="A15" s="2">
        <v>10</v>
      </c>
      <c r="B15" s="2">
        <f>Annual_Report!B11</f>
        <v>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4">
        <f t="shared" si="1"/>
        <v>0</v>
      </c>
      <c r="AI15" s="4">
        <f t="shared" si="2"/>
        <v>0</v>
      </c>
      <c r="AJ15" s="4">
        <f t="shared" si="3"/>
        <v>0</v>
      </c>
      <c r="AK15" s="4">
        <f t="shared" si="4"/>
        <v>0</v>
      </c>
    </row>
    <row r="16" spans="1:37" x14ac:dyDescent="0.25">
      <c r="A16" s="2">
        <v>11</v>
      </c>
      <c r="B16" s="2">
        <f>Annual_Report!B12</f>
        <v>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4">
        <f t="shared" si="1"/>
        <v>0</v>
      </c>
      <c r="AI16" s="4">
        <f t="shared" si="2"/>
        <v>0</v>
      </c>
      <c r="AJ16" s="4">
        <f t="shared" si="3"/>
        <v>0</v>
      </c>
      <c r="AK16" s="4">
        <f t="shared" si="4"/>
        <v>0</v>
      </c>
    </row>
    <row r="17" spans="1:37" x14ac:dyDescent="0.25">
      <c r="A17" s="2">
        <v>12</v>
      </c>
      <c r="B17" s="2">
        <f>Annual_Report!B13</f>
        <v>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4">
        <f t="shared" si="1"/>
        <v>0</v>
      </c>
      <c r="AI17" s="4">
        <f t="shared" si="2"/>
        <v>0</v>
      </c>
      <c r="AJ17" s="4">
        <f t="shared" si="3"/>
        <v>0</v>
      </c>
      <c r="AK17" s="4">
        <f t="shared" si="4"/>
        <v>0</v>
      </c>
    </row>
    <row r="18" spans="1:37" x14ac:dyDescent="0.25">
      <c r="A18" s="2">
        <v>13</v>
      </c>
      <c r="B18" s="2">
        <f>Annual_Report!B14</f>
        <v>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4">
        <f t="shared" si="1"/>
        <v>0</v>
      </c>
      <c r="AI18" s="4">
        <f t="shared" si="2"/>
        <v>0</v>
      </c>
      <c r="AJ18" s="4">
        <f t="shared" si="3"/>
        <v>0</v>
      </c>
      <c r="AK18" s="4">
        <f t="shared" si="4"/>
        <v>0</v>
      </c>
    </row>
    <row r="19" spans="1:37" x14ac:dyDescent="0.25">
      <c r="A19" s="2">
        <v>14</v>
      </c>
      <c r="B19" s="2">
        <f>Annual_Report!B15</f>
        <v>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4">
        <f t="shared" si="1"/>
        <v>0</v>
      </c>
      <c r="AI19" s="4">
        <f t="shared" si="2"/>
        <v>0</v>
      </c>
      <c r="AJ19" s="4">
        <f t="shared" si="3"/>
        <v>0</v>
      </c>
      <c r="AK19" s="4">
        <f t="shared" si="4"/>
        <v>0</v>
      </c>
    </row>
    <row r="20" spans="1:37" x14ac:dyDescent="0.25">
      <c r="A20" s="2">
        <v>15</v>
      </c>
      <c r="B20" s="2">
        <f>Annual_Report!B16</f>
        <v>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4">
        <f t="shared" si="1"/>
        <v>0</v>
      </c>
      <c r="AI20" s="4">
        <f t="shared" si="2"/>
        <v>0</v>
      </c>
      <c r="AJ20" s="4">
        <f t="shared" si="3"/>
        <v>0</v>
      </c>
      <c r="AK20" s="4">
        <f t="shared" si="4"/>
        <v>0</v>
      </c>
    </row>
    <row r="21" spans="1:37" x14ac:dyDescent="0.25">
      <c r="A21" s="2">
        <v>16</v>
      </c>
      <c r="B21" s="2">
        <f>Annual_Report!B17</f>
        <v>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4">
        <f t="shared" si="1"/>
        <v>0</v>
      </c>
      <c r="AI21" s="4">
        <f t="shared" si="2"/>
        <v>0</v>
      </c>
      <c r="AJ21" s="4">
        <f t="shared" si="3"/>
        <v>0</v>
      </c>
      <c r="AK21" s="4">
        <f t="shared" si="4"/>
        <v>0</v>
      </c>
    </row>
    <row r="22" spans="1:37" x14ac:dyDescent="0.25">
      <c r="A22" s="2">
        <v>17</v>
      </c>
      <c r="B22" s="2">
        <f>Annual_Report!B18</f>
        <v>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4">
        <f t="shared" si="1"/>
        <v>0</v>
      </c>
      <c r="AI22" s="4">
        <f t="shared" si="2"/>
        <v>0</v>
      </c>
      <c r="AJ22" s="4">
        <f t="shared" si="3"/>
        <v>0</v>
      </c>
      <c r="AK22" s="4">
        <f t="shared" si="4"/>
        <v>0</v>
      </c>
    </row>
    <row r="23" spans="1:37" x14ac:dyDescent="0.25">
      <c r="A23" s="2">
        <v>18</v>
      </c>
      <c r="B23" s="2">
        <f>Annual_Report!B19</f>
        <v>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4">
        <f t="shared" si="1"/>
        <v>0</v>
      </c>
      <c r="AI23" s="4">
        <f t="shared" si="2"/>
        <v>0</v>
      </c>
      <c r="AJ23" s="4">
        <f t="shared" si="3"/>
        <v>0</v>
      </c>
      <c r="AK23" s="4">
        <f t="shared" si="4"/>
        <v>0</v>
      </c>
    </row>
    <row r="24" spans="1:37" x14ac:dyDescent="0.25">
      <c r="A24" s="2">
        <v>19</v>
      </c>
      <c r="B24" s="2">
        <f>Annual_Report!B20</f>
        <v>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4">
        <f t="shared" si="1"/>
        <v>0</v>
      </c>
      <c r="AI24" s="4">
        <f t="shared" si="2"/>
        <v>0</v>
      </c>
      <c r="AJ24" s="4">
        <f t="shared" si="3"/>
        <v>0</v>
      </c>
      <c r="AK24" s="4">
        <f t="shared" si="4"/>
        <v>0</v>
      </c>
    </row>
    <row r="25" spans="1:37" x14ac:dyDescent="0.25">
      <c r="A25" s="2">
        <v>20</v>
      </c>
      <c r="B25" s="2">
        <f>Annual_Report!B21</f>
        <v>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4">
        <f t="shared" si="1"/>
        <v>0</v>
      </c>
      <c r="AI25" s="4">
        <f t="shared" si="2"/>
        <v>0</v>
      </c>
      <c r="AJ25" s="4">
        <f t="shared" si="3"/>
        <v>0</v>
      </c>
      <c r="AK25" s="4">
        <f t="shared" si="4"/>
        <v>0</v>
      </c>
    </row>
    <row r="26" spans="1:37" x14ac:dyDescent="0.25">
      <c r="A26" s="2">
        <v>21</v>
      </c>
      <c r="B26" s="2">
        <f>Annual_Report!B22</f>
        <v>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4">
        <f t="shared" si="1"/>
        <v>0</v>
      </c>
      <c r="AI26" s="4">
        <f t="shared" si="2"/>
        <v>0</v>
      </c>
      <c r="AJ26" s="4">
        <f t="shared" si="3"/>
        <v>0</v>
      </c>
      <c r="AK26" s="4">
        <f t="shared" si="4"/>
        <v>0</v>
      </c>
    </row>
    <row r="27" spans="1:37" x14ac:dyDescent="0.25">
      <c r="A27" s="2">
        <v>22</v>
      </c>
      <c r="B27" s="2">
        <f>Annual_Report!B23</f>
        <v>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4">
        <f t="shared" si="1"/>
        <v>0</v>
      </c>
      <c r="AI27" s="4">
        <f t="shared" si="2"/>
        <v>0</v>
      </c>
      <c r="AJ27" s="4">
        <f t="shared" si="3"/>
        <v>0</v>
      </c>
      <c r="AK27" s="4">
        <f t="shared" si="4"/>
        <v>0</v>
      </c>
    </row>
    <row r="28" spans="1:37" x14ac:dyDescent="0.25">
      <c r="A28" s="2">
        <v>23</v>
      </c>
      <c r="B28" s="2">
        <f>Annual_Report!B24</f>
        <v>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4">
        <f t="shared" si="1"/>
        <v>0</v>
      </c>
      <c r="AI28" s="4">
        <f t="shared" si="2"/>
        <v>0</v>
      </c>
      <c r="AJ28" s="4">
        <f t="shared" si="3"/>
        <v>0</v>
      </c>
      <c r="AK28" s="4">
        <f t="shared" si="4"/>
        <v>0</v>
      </c>
    </row>
    <row r="29" spans="1:37" x14ac:dyDescent="0.25">
      <c r="A29" s="2">
        <v>24</v>
      </c>
      <c r="B29" s="2">
        <f>Annual_Report!B25</f>
        <v>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4">
        <f t="shared" si="1"/>
        <v>0</v>
      </c>
      <c r="AI29" s="4">
        <f t="shared" si="2"/>
        <v>0</v>
      </c>
      <c r="AJ29" s="4">
        <f t="shared" si="3"/>
        <v>0</v>
      </c>
      <c r="AK29" s="4">
        <f t="shared" si="4"/>
        <v>0</v>
      </c>
    </row>
    <row r="30" spans="1:37" x14ac:dyDescent="0.25">
      <c r="A30" s="2">
        <v>25</v>
      </c>
      <c r="B30" s="2">
        <f>Annual_Report!B26</f>
        <v>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4">
        <f t="shared" si="1"/>
        <v>0</v>
      </c>
      <c r="AI30" s="4">
        <f t="shared" si="2"/>
        <v>0</v>
      </c>
      <c r="AJ30" s="4">
        <f t="shared" si="3"/>
        <v>0</v>
      </c>
      <c r="AK30" s="4">
        <f t="shared" si="4"/>
        <v>0</v>
      </c>
    </row>
    <row r="31" spans="1:37" x14ac:dyDescent="0.25">
      <c r="A31" s="2">
        <v>26</v>
      </c>
      <c r="B31" s="2">
        <f>Annual_Report!B27</f>
        <v>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4">
        <f t="shared" si="1"/>
        <v>0</v>
      </c>
      <c r="AI31" s="4">
        <f t="shared" si="2"/>
        <v>0</v>
      </c>
      <c r="AJ31" s="4">
        <f t="shared" si="3"/>
        <v>0</v>
      </c>
      <c r="AK31" s="4">
        <f t="shared" si="4"/>
        <v>0</v>
      </c>
    </row>
    <row r="32" spans="1:37" x14ac:dyDescent="0.25">
      <c r="A32" s="2">
        <v>27</v>
      </c>
      <c r="B32" s="2">
        <f>Annual_Report!B28</f>
        <v>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4">
        <f t="shared" si="1"/>
        <v>0</v>
      </c>
      <c r="AI32" s="4">
        <f t="shared" si="2"/>
        <v>0</v>
      </c>
      <c r="AJ32" s="4">
        <f t="shared" si="3"/>
        <v>0</v>
      </c>
      <c r="AK32" s="4">
        <f t="shared" si="4"/>
        <v>0</v>
      </c>
    </row>
    <row r="33" spans="1:37" x14ac:dyDescent="0.25">
      <c r="A33" s="2">
        <v>28</v>
      </c>
      <c r="B33" s="2">
        <f>Annual_Report!B29</f>
        <v>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4">
        <f t="shared" si="1"/>
        <v>0</v>
      </c>
      <c r="AI33" s="4">
        <f t="shared" si="2"/>
        <v>0</v>
      </c>
      <c r="AJ33" s="4">
        <f t="shared" si="3"/>
        <v>0</v>
      </c>
      <c r="AK33" s="4">
        <f t="shared" si="4"/>
        <v>0</v>
      </c>
    </row>
    <row r="34" spans="1:37" x14ac:dyDescent="0.25">
      <c r="A34" s="2">
        <v>29</v>
      </c>
      <c r="B34" s="2">
        <f>Annual_Report!B30</f>
        <v>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4">
        <f t="shared" si="1"/>
        <v>0</v>
      </c>
      <c r="AI34" s="4">
        <f t="shared" si="2"/>
        <v>0</v>
      </c>
      <c r="AJ34" s="4">
        <f t="shared" si="3"/>
        <v>0</v>
      </c>
      <c r="AK34" s="4">
        <f t="shared" si="4"/>
        <v>0</v>
      </c>
    </row>
    <row r="35" spans="1:37" x14ac:dyDescent="0.25">
      <c r="A35" s="2">
        <v>30</v>
      </c>
      <c r="B35" s="2">
        <f>Annual_Report!B31</f>
        <v>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4">
        <f t="shared" si="1"/>
        <v>0</v>
      </c>
      <c r="AI35" s="4">
        <f t="shared" si="2"/>
        <v>0</v>
      </c>
      <c r="AJ35" s="4">
        <f t="shared" si="3"/>
        <v>0</v>
      </c>
      <c r="AK35" s="4">
        <f t="shared" si="4"/>
        <v>0</v>
      </c>
    </row>
    <row r="36" spans="1:37" x14ac:dyDescent="0.25">
      <c r="A36" s="2">
        <v>31</v>
      </c>
      <c r="B36" s="2">
        <f>Annual_Report!B32</f>
        <v>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4">
        <f t="shared" si="1"/>
        <v>0</v>
      </c>
      <c r="AI36" s="4">
        <f t="shared" si="2"/>
        <v>0</v>
      </c>
      <c r="AJ36" s="4">
        <f t="shared" si="3"/>
        <v>0</v>
      </c>
      <c r="AK36" s="4">
        <f t="shared" si="4"/>
        <v>0</v>
      </c>
    </row>
    <row r="37" spans="1:37" x14ac:dyDescent="0.25">
      <c r="A37" s="2">
        <v>32</v>
      </c>
      <c r="B37" s="2">
        <f>Annual_Report!B33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4">
        <f t="shared" si="1"/>
        <v>0</v>
      </c>
      <c r="AI37" s="4">
        <f t="shared" si="2"/>
        <v>0</v>
      </c>
      <c r="AJ37" s="4">
        <f t="shared" si="3"/>
        <v>0</v>
      </c>
      <c r="AK37" s="4">
        <f t="shared" si="4"/>
        <v>0</v>
      </c>
    </row>
    <row r="38" spans="1:37" x14ac:dyDescent="0.25">
      <c r="A38" s="2">
        <v>33</v>
      </c>
      <c r="B38" s="2">
        <f>Annual_Report!B34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4">
        <f t="shared" ref="AH38:AH69" si="5">COUNTIF($C38:$AG38, "ح")</f>
        <v>0</v>
      </c>
      <c r="AI38" s="4">
        <f t="shared" ref="AI38:AI69" si="6">COUNTIF($C38:$AG38, "غ")</f>
        <v>0</v>
      </c>
      <c r="AJ38" s="4">
        <f t="shared" ref="AJ38:AJ69" si="7">COUNTIF($C38:$AG38, "ج")</f>
        <v>0</v>
      </c>
      <c r="AK38" s="4">
        <f t="shared" ref="AK38:AK69" si="8">COUNTIF($C38:$AG38, "م")</f>
        <v>0</v>
      </c>
    </row>
    <row r="39" spans="1:37" x14ac:dyDescent="0.25">
      <c r="A39" s="2">
        <v>34</v>
      </c>
      <c r="B39" s="2">
        <f>Annual_Report!B35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4">
        <f t="shared" si="5"/>
        <v>0</v>
      </c>
      <c r="AI39" s="4">
        <f t="shared" si="6"/>
        <v>0</v>
      </c>
      <c r="AJ39" s="4">
        <f t="shared" si="7"/>
        <v>0</v>
      </c>
      <c r="AK39" s="4">
        <f t="shared" si="8"/>
        <v>0</v>
      </c>
    </row>
    <row r="40" spans="1:37" x14ac:dyDescent="0.25">
      <c r="A40" s="2">
        <v>35</v>
      </c>
      <c r="B40" s="2">
        <f>Annual_Report!B36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4">
        <f t="shared" si="5"/>
        <v>0</v>
      </c>
      <c r="AI40" s="4">
        <f t="shared" si="6"/>
        <v>0</v>
      </c>
      <c r="AJ40" s="4">
        <f t="shared" si="7"/>
        <v>0</v>
      </c>
      <c r="AK40" s="4">
        <f t="shared" si="8"/>
        <v>0</v>
      </c>
    </row>
    <row r="41" spans="1:37" x14ac:dyDescent="0.25">
      <c r="A41" s="2">
        <v>36</v>
      </c>
      <c r="B41" s="2">
        <f>Annual_Report!B37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4">
        <f t="shared" si="5"/>
        <v>0</v>
      </c>
      <c r="AI41" s="4">
        <f t="shared" si="6"/>
        <v>0</v>
      </c>
      <c r="AJ41" s="4">
        <f t="shared" si="7"/>
        <v>0</v>
      </c>
      <c r="AK41" s="4">
        <f t="shared" si="8"/>
        <v>0</v>
      </c>
    </row>
    <row r="42" spans="1:37" x14ac:dyDescent="0.25">
      <c r="A42" s="2">
        <v>37</v>
      </c>
      <c r="B42" s="2">
        <f>Annual_Report!B38</f>
        <v>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4">
        <f t="shared" si="5"/>
        <v>0</v>
      </c>
      <c r="AI42" s="4">
        <f t="shared" si="6"/>
        <v>0</v>
      </c>
      <c r="AJ42" s="4">
        <f t="shared" si="7"/>
        <v>0</v>
      </c>
      <c r="AK42" s="4">
        <f t="shared" si="8"/>
        <v>0</v>
      </c>
    </row>
    <row r="43" spans="1:37" x14ac:dyDescent="0.25">
      <c r="A43" s="2">
        <v>38</v>
      </c>
      <c r="B43" s="2">
        <f>Annual_Report!B39</f>
        <v>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4">
        <f t="shared" si="5"/>
        <v>0</v>
      </c>
      <c r="AI43" s="4">
        <f t="shared" si="6"/>
        <v>0</v>
      </c>
      <c r="AJ43" s="4">
        <f t="shared" si="7"/>
        <v>0</v>
      </c>
      <c r="AK43" s="4">
        <f t="shared" si="8"/>
        <v>0</v>
      </c>
    </row>
    <row r="44" spans="1:37" x14ac:dyDescent="0.25">
      <c r="A44" s="2">
        <v>39</v>
      </c>
      <c r="B44" s="2">
        <f>Annual_Report!B40</f>
        <v>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4">
        <f t="shared" si="5"/>
        <v>0</v>
      </c>
      <c r="AI44" s="4">
        <f t="shared" si="6"/>
        <v>0</v>
      </c>
      <c r="AJ44" s="4">
        <f t="shared" si="7"/>
        <v>0</v>
      </c>
      <c r="AK44" s="4">
        <f t="shared" si="8"/>
        <v>0</v>
      </c>
    </row>
    <row r="45" spans="1:37" x14ac:dyDescent="0.25">
      <c r="A45" s="2">
        <v>40</v>
      </c>
      <c r="B45" s="2">
        <f>Annual_Report!B41</f>
        <v>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4">
        <f t="shared" si="5"/>
        <v>0</v>
      </c>
      <c r="AI45" s="4">
        <f t="shared" si="6"/>
        <v>0</v>
      </c>
      <c r="AJ45" s="4">
        <f t="shared" si="7"/>
        <v>0</v>
      </c>
      <c r="AK45" s="4">
        <f t="shared" si="8"/>
        <v>0</v>
      </c>
    </row>
    <row r="46" spans="1:37" x14ac:dyDescent="0.25">
      <c r="A46" s="2">
        <v>41</v>
      </c>
      <c r="B46" s="2">
        <f>Annual_Report!B42</f>
        <v>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4">
        <f t="shared" si="5"/>
        <v>0</v>
      </c>
      <c r="AI46" s="4">
        <f t="shared" si="6"/>
        <v>0</v>
      </c>
      <c r="AJ46" s="4">
        <f t="shared" si="7"/>
        <v>0</v>
      </c>
      <c r="AK46" s="4">
        <f t="shared" si="8"/>
        <v>0</v>
      </c>
    </row>
    <row r="47" spans="1:37" x14ac:dyDescent="0.25">
      <c r="A47" s="2">
        <v>42</v>
      </c>
      <c r="B47" s="2">
        <f>Annual_Report!B43</f>
        <v>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4">
        <f t="shared" si="5"/>
        <v>0</v>
      </c>
      <c r="AI47" s="4">
        <f t="shared" si="6"/>
        <v>0</v>
      </c>
      <c r="AJ47" s="4">
        <f t="shared" si="7"/>
        <v>0</v>
      </c>
      <c r="AK47" s="4">
        <f t="shared" si="8"/>
        <v>0</v>
      </c>
    </row>
    <row r="48" spans="1:37" x14ac:dyDescent="0.25">
      <c r="A48" s="2">
        <v>43</v>
      </c>
      <c r="B48" s="2">
        <f>Annual_Report!B44</f>
        <v>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4">
        <f t="shared" si="5"/>
        <v>0</v>
      </c>
      <c r="AI48" s="4">
        <f t="shared" si="6"/>
        <v>0</v>
      </c>
      <c r="AJ48" s="4">
        <f t="shared" si="7"/>
        <v>0</v>
      </c>
      <c r="AK48" s="4">
        <f t="shared" si="8"/>
        <v>0</v>
      </c>
    </row>
    <row r="49" spans="1:37" x14ac:dyDescent="0.25">
      <c r="A49" s="2">
        <v>44</v>
      </c>
      <c r="B49" s="2">
        <f>Annual_Report!B45</f>
        <v>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4">
        <f t="shared" si="5"/>
        <v>0</v>
      </c>
      <c r="AI49" s="4">
        <f t="shared" si="6"/>
        <v>0</v>
      </c>
      <c r="AJ49" s="4">
        <f t="shared" si="7"/>
        <v>0</v>
      </c>
      <c r="AK49" s="4">
        <f t="shared" si="8"/>
        <v>0</v>
      </c>
    </row>
    <row r="50" spans="1:37" x14ac:dyDescent="0.25">
      <c r="A50" s="2">
        <v>45</v>
      </c>
      <c r="B50" s="2">
        <f>Annual_Report!B46</f>
        <v>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4">
        <f t="shared" si="5"/>
        <v>0</v>
      </c>
      <c r="AI50" s="4">
        <f t="shared" si="6"/>
        <v>0</v>
      </c>
      <c r="AJ50" s="4">
        <f t="shared" si="7"/>
        <v>0</v>
      </c>
      <c r="AK50" s="4">
        <f t="shared" si="8"/>
        <v>0</v>
      </c>
    </row>
    <row r="51" spans="1:37" x14ac:dyDescent="0.25">
      <c r="A51" s="2">
        <v>46</v>
      </c>
      <c r="B51" s="2">
        <f>Annual_Report!B47</f>
        <v>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4">
        <f t="shared" si="5"/>
        <v>0</v>
      </c>
      <c r="AI51" s="4">
        <f t="shared" si="6"/>
        <v>0</v>
      </c>
      <c r="AJ51" s="4">
        <f t="shared" si="7"/>
        <v>0</v>
      </c>
      <c r="AK51" s="4">
        <f t="shared" si="8"/>
        <v>0</v>
      </c>
    </row>
    <row r="52" spans="1:37" x14ac:dyDescent="0.25">
      <c r="A52" s="2">
        <v>47</v>
      </c>
      <c r="B52" s="2">
        <f>Annual_Report!B48</f>
        <v>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4">
        <f t="shared" si="5"/>
        <v>0</v>
      </c>
      <c r="AI52" s="4">
        <f t="shared" si="6"/>
        <v>0</v>
      </c>
      <c r="AJ52" s="4">
        <f t="shared" si="7"/>
        <v>0</v>
      </c>
      <c r="AK52" s="4">
        <f t="shared" si="8"/>
        <v>0</v>
      </c>
    </row>
    <row r="53" spans="1:37" x14ac:dyDescent="0.25">
      <c r="A53" s="2">
        <v>48</v>
      </c>
      <c r="B53" s="2">
        <f>Annual_Report!B49</f>
        <v>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4">
        <f t="shared" si="5"/>
        <v>0</v>
      </c>
      <c r="AI53" s="4">
        <f t="shared" si="6"/>
        <v>0</v>
      </c>
      <c r="AJ53" s="4">
        <f t="shared" si="7"/>
        <v>0</v>
      </c>
      <c r="AK53" s="4">
        <f t="shared" si="8"/>
        <v>0</v>
      </c>
    </row>
    <row r="54" spans="1:37" x14ac:dyDescent="0.25">
      <c r="A54" s="2">
        <v>49</v>
      </c>
      <c r="B54" s="2">
        <f>Annual_Report!B50</f>
        <v>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4">
        <f t="shared" si="5"/>
        <v>0</v>
      </c>
      <c r="AI54" s="4">
        <f t="shared" si="6"/>
        <v>0</v>
      </c>
      <c r="AJ54" s="4">
        <f t="shared" si="7"/>
        <v>0</v>
      </c>
      <c r="AK54" s="4">
        <f t="shared" si="8"/>
        <v>0</v>
      </c>
    </row>
    <row r="55" spans="1:37" x14ac:dyDescent="0.25">
      <c r="A55" s="2">
        <v>50</v>
      </c>
      <c r="B55" s="2">
        <f>Annual_Report!B51</f>
        <v>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4">
        <f t="shared" si="5"/>
        <v>0</v>
      </c>
      <c r="AI55" s="4">
        <f t="shared" si="6"/>
        <v>0</v>
      </c>
      <c r="AJ55" s="4">
        <f t="shared" si="7"/>
        <v>0</v>
      </c>
      <c r="AK55" s="4">
        <f t="shared" si="8"/>
        <v>0</v>
      </c>
    </row>
    <row r="56" spans="1:37" x14ac:dyDescent="0.25">
      <c r="A56" s="2">
        <v>51</v>
      </c>
      <c r="B56" s="2">
        <f>Annual_Report!B52</f>
        <v>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4">
        <f t="shared" si="5"/>
        <v>0</v>
      </c>
      <c r="AI56" s="4">
        <f t="shared" si="6"/>
        <v>0</v>
      </c>
      <c r="AJ56" s="4">
        <f t="shared" si="7"/>
        <v>0</v>
      </c>
      <c r="AK56" s="4">
        <f t="shared" si="8"/>
        <v>0</v>
      </c>
    </row>
    <row r="57" spans="1:37" x14ac:dyDescent="0.25">
      <c r="A57" s="2">
        <v>52</v>
      </c>
      <c r="B57" s="2">
        <f>Annual_Report!B53</f>
        <v>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4">
        <f t="shared" si="5"/>
        <v>0</v>
      </c>
      <c r="AI57" s="4">
        <f t="shared" si="6"/>
        <v>0</v>
      </c>
      <c r="AJ57" s="4">
        <f t="shared" si="7"/>
        <v>0</v>
      </c>
      <c r="AK57" s="4">
        <f t="shared" si="8"/>
        <v>0</v>
      </c>
    </row>
    <row r="58" spans="1:37" x14ac:dyDescent="0.25">
      <c r="A58" s="2">
        <v>53</v>
      </c>
      <c r="B58" s="2">
        <f>Annual_Report!B54</f>
        <v>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4">
        <f t="shared" si="5"/>
        <v>0</v>
      </c>
      <c r="AI58" s="4">
        <f t="shared" si="6"/>
        <v>0</v>
      </c>
      <c r="AJ58" s="4">
        <f t="shared" si="7"/>
        <v>0</v>
      </c>
      <c r="AK58" s="4">
        <f t="shared" si="8"/>
        <v>0</v>
      </c>
    </row>
    <row r="59" spans="1:37" x14ac:dyDescent="0.25">
      <c r="A59" s="2">
        <v>54</v>
      </c>
      <c r="B59" s="2">
        <f>Annual_Report!B55</f>
        <v>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4">
        <f t="shared" si="5"/>
        <v>0</v>
      </c>
      <c r="AI59" s="4">
        <f t="shared" si="6"/>
        <v>0</v>
      </c>
      <c r="AJ59" s="4">
        <f t="shared" si="7"/>
        <v>0</v>
      </c>
      <c r="AK59" s="4">
        <f t="shared" si="8"/>
        <v>0</v>
      </c>
    </row>
    <row r="60" spans="1:37" x14ac:dyDescent="0.25">
      <c r="A60" s="2">
        <v>55</v>
      </c>
      <c r="B60" s="2">
        <f>Annual_Report!B56</f>
        <v>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4">
        <f t="shared" si="5"/>
        <v>0</v>
      </c>
      <c r="AI60" s="4">
        <f t="shared" si="6"/>
        <v>0</v>
      </c>
      <c r="AJ60" s="4">
        <f t="shared" si="7"/>
        <v>0</v>
      </c>
      <c r="AK60" s="4">
        <f t="shared" si="8"/>
        <v>0</v>
      </c>
    </row>
    <row r="61" spans="1:37" x14ac:dyDescent="0.25">
      <c r="A61" s="2">
        <v>56</v>
      </c>
      <c r="B61" s="2">
        <f>Annual_Report!B57</f>
        <v>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4">
        <f t="shared" si="5"/>
        <v>0</v>
      </c>
      <c r="AI61" s="4">
        <f t="shared" si="6"/>
        <v>0</v>
      </c>
      <c r="AJ61" s="4">
        <f t="shared" si="7"/>
        <v>0</v>
      </c>
      <c r="AK61" s="4">
        <f t="shared" si="8"/>
        <v>0</v>
      </c>
    </row>
    <row r="62" spans="1:37" x14ac:dyDescent="0.25">
      <c r="A62" s="2">
        <v>57</v>
      </c>
      <c r="B62" s="2">
        <f>Annual_Report!B58</f>
        <v>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4">
        <f t="shared" si="5"/>
        <v>0</v>
      </c>
      <c r="AI62" s="4">
        <f t="shared" si="6"/>
        <v>0</v>
      </c>
      <c r="AJ62" s="4">
        <f t="shared" si="7"/>
        <v>0</v>
      </c>
      <c r="AK62" s="4">
        <f t="shared" si="8"/>
        <v>0</v>
      </c>
    </row>
    <row r="63" spans="1:37" x14ac:dyDescent="0.25">
      <c r="A63" s="2">
        <v>58</v>
      </c>
      <c r="B63" s="2">
        <f>Annual_Report!B59</f>
        <v>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4">
        <f t="shared" si="5"/>
        <v>0</v>
      </c>
      <c r="AI63" s="4">
        <f t="shared" si="6"/>
        <v>0</v>
      </c>
      <c r="AJ63" s="4">
        <f t="shared" si="7"/>
        <v>0</v>
      </c>
      <c r="AK63" s="4">
        <f t="shared" si="8"/>
        <v>0</v>
      </c>
    </row>
    <row r="64" spans="1:37" x14ac:dyDescent="0.25">
      <c r="A64" s="2">
        <v>59</v>
      </c>
      <c r="B64" s="2">
        <f>Annual_Report!B60</f>
        <v>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4">
        <f t="shared" si="5"/>
        <v>0</v>
      </c>
      <c r="AI64" s="4">
        <f t="shared" si="6"/>
        <v>0</v>
      </c>
      <c r="AJ64" s="4">
        <f t="shared" si="7"/>
        <v>0</v>
      </c>
      <c r="AK64" s="4">
        <f t="shared" si="8"/>
        <v>0</v>
      </c>
    </row>
    <row r="65" spans="1:37" x14ac:dyDescent="0.25">
      <c r="A65" s="2">
        <v>60</v>
      </c>
      <c r="B65" s="2">
        <f>Annual_Report!B61</f>
        <v>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4">
        <f t="shared" si="5"/>
        <v>0</v>
      </c>
      <c r="AI65" s="4">
        <f t="shared" si="6"/>
        <v>0</v>
      </c>
      <c r="AJ65" s="4">
        <f t="shared" si="7"/>
        <v>0</v>
      </c>
      <c r="AK65" s="4">
        <f t="shared" si="8"/>
        <v>0</v>
      </c>
    </row>
    <row r="66" spans="1:37" x14ac:dyDescent="0.25">
      <c r="A66" s="2">
        <v>61</v>
      </c>
      <c r="B66" s="2">
        <f>Annual_Report!B62</f>
        <v>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4">
        <f t="shared" si="5"/>
        <v>0</v>
      </c>
      <c r="AI66" s="4">
        <f t="shared" si="6"/>
        <v>0</v>
      </c>
      <c r="AJ66" s="4">
        <f t="shared" si="7"/>
        <v>0</v>
      </c>
      <c r="AK66" s="4">
        <f t="shared" si="8"/>
        <v>0</v>
      </c>
    </row>
    <row r="67" spans="1:37" x14ac:dyDescent="0.25">
      <c r="A67" s="2">
        <v>62</v>
      </c>
      <c r="B67" s="2">
        <f>Annual_Report!B63</f>
        <v>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4">
        <f t="shared" si="5"/>
        <v>0</v>
      </c>
      <c r="AI67" s="4">
        <f t="shared" si="6"/>
        <v>0</v>
      </c>
      <c r="AJ67" s="4">
        <f t="shared" si="7"/>
        <v>0</v>
      </c>
      <c r="AK67" s="4">
        <f t="shared" si="8"/>
        <v>0</v>
      </c>
    </row>
    <row r="68" spans="1:37" x14ac:dyDescent="0.25">
      <c r="A68" s="2">
        <v>63</v>
      </c>
      <c r="B68" s="2">
        <f>Annual_Report!B64</f>
        <v>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4">
        <f t="shared" si="5"/>
        <v>0</v>
      </c>
      <c r="AI68" s="4">
        <f t="shared" si="6"/>
        <v>0</v>
      </c>
      <c r="AJ68" s="4">
        <f t="shared" si="7"/>
        <v>0</v>
      </c>
      <c r="AK68" s="4">
        <f t="shared" si="8"/>
        <v>0</v>
      </c>
    </row>
    <row r="69" spans="1:37" x14ac:dyDescent="0.25">
      <c r="A69" s="2">
        <v>64</v>
      </c>
      <c r="B69" s="2">
        <f>Annual_Report!B65</f>
        <v>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4">
        <f t="shared" si="5"/>
        <v>0</v>
      </c>
      <c r="AI69" s="4">
        <f t="shared" si="6"/>
        <v>0</v>
      </c>
      <c r="AJ69" s="4">
        <f t="shared" si="7"/>
        <v>0</v>
      </c>
      <c r="AK69" s="4">
        <f t="shared" si="8"/>
        <v>0</v>
      </c>
    </row>
    <row r="70" spans="1:37" x14ac:dyDescent="0.25">
      <c r="A70" s="2">
        <v>65</v>
      </c>
      <c r="B70" s="2">
        <f>Annual_Report!B66</f>
        <v>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4">
        <f t="shared" ref="AH70:AH105" si="9">COUNTIF($C70:$AG70, "ح")</f>
        <v>0</v>
      </c>
      <c r="AI70" s="4">
        <f t="shared" ref="AI70:AI105" si="10">COUNTIF($C70:$AG70, "غ")</f>
        <v>0</v>
      </c>
      <c r="AJ70" s="4">
        <f t="shared" ref="AJ70:AJ105" si="11">COUNTIF($C70:$AG70, "ج")</f>
        <v>0</v>
      </c>
      <c r="AK70" s="4">
        <f t="shared" ref="AK70:AK105" si="12">COUNTIF($C70:$AG70, "م")</f>
        <v>0</v>
      </c>
    </row>
    <row r="71" spans="1:37" x14ac:dyDescent="0.25">
      <c r="A71" s="2">
        <v>66</v>
      </c>
      <c r="B71" s="2">
        <f>Annual_Report!B67</f>
        <v>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4">
        <f t="shared" si="9"/>
        <v>0</v>
      </c>
      <c r="AI71" s="4">
        <f t="shared" si="10"/>
        <v>0</v>
      </c>
      <c r="AJ71" s="4">
        <f t="shared" si="11"/>
        <v>0</v>
      </c>
      <c r="AK71" s="4">
        <f t="shared" si="12"/>
        <v>0</v>
      </c>
    </row>
    <row r="72" spans="1:37" x14ac:dyDescent="0.25">
      <c r="A72" s="2">
        <v>67</v>
      </c>
      <c r="B72" s="2">
        <f>Annual_Report!B68</f>
        <v>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4">
        <f t="shared" si="9"/>
        <v>0</v>
      </c>
      <c r="AI72" s="4">
        <f t="shared" si="10"/>
        <v>0</v>
      </c>
      <c r="AJ72" s="4">
        <f t="shared" si="11"/>
        <v>0</v>
      </c>
      <c r="AK72" s="4">
        <f t="shared" si="12"/>
        <v>0</v>
      </c>
    </row>
    <row r="73" spans="1:37" x14ac:dyDescent="0.25">
      <c r="A73" s="2">
        <v>68</v>
      </c>
      <c r="B73" s="2">
        <f>Annual_Report!B69</f>
        <v>0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4">
        <f t="shared" si="9"/>
        <v>0</v>
      </c>
      <c r="AI73" s="4">
        <f t="shared" si="10"/>
        <v>0</v>
      </c>
      <c r="AJ73" s="4">
        <f t="shared" si="11"/>
        <v>0</v>
      </c>
      <c r="AK73" s="4">
        <f t="shared" si="12"/>
        <v>0</v>
      </c>
    </row>
    <row r="74" spans="1:37" x14ac:dyDescent="0.25">
      <c r="A74" s="2">
        <v>69</v>
      </c>
      <c r="B74" s="2">
        <f>Annual_Report!B70</f>
        <v>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4">
        <f t="shared" si="9"/>
        <v>0</v>
      </c>
      <c r="AI74" s="4">
        <f t="shared" si="10"/>
        <v>0</v>
      </c>
      <c r="AJ74" s="4">
        <f t="shared" si="11"/>
        <v>0</v>
      </c>
      <c r="AK74" s="4">
        <f t="shared" si="12"/>
        <v>0</v>
      </c>
    </row>
    <row r="75" spans="1:37" x14ac:dyDescent="0.25">
      <c r="A75" s="2">
        <v>70</v>
      </c>
      <c r="B75" s="2">
        <f>Annual_Report!B71</f>
        <v>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4">
        <f t="shared" si="9"/>
        <v>0</v>
      </c>
      <c r="AI75" s="4">
        <f t="shared" si="10"/>
        <v>0</v>
      </c>
      <c r="AJ75" s="4">
        <f t="shared" si="11"/>
        <v>0</v>
      </c>
      <c r="AK75" s="4">
        <f t="shared" si="12"/>
        <v>0</v>
      </c>
    </row>
    <row r="76" spans="1:37" x14ac:dyDescent="0.25">
      <c r="A76" s="2">
        <v>71</v>
      </c>
      <c r="B76" s="2">
        <f>Annual_Report!B72</f>
        <v>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4">
        <f t="shared" si="9"/>
        <v>0</v>
      </c>
      <c r="AI76" s="4">
        <f t="shared" si="10"/>
        <v>0</v>
      </c>
      <c r="AJ76" s="4">
        <f t="shared" si="11"/>
        <v>0</v>
      </c>
      <c r="AK76" s="4">
        <f t="shared" si="12"/>
        <v>0</v>
      </c>
    </row>
    <row r="77" spans="1:37" x14ac:dyDescent="0.25">
      <c r="A77" s="2">
        <v>72</v>
      </c>
      <c r="B77" s="2">
        <f>Annual_Report!B73</f>
        <v>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4">
        <f t="shared" si="9"/>
        <v>0</v>
      </c>
      <c r="AI77" s="4">
        <f t="shared" si="10"/>
        <v>0</v>
      </c>
      <c r="AJ77" s="4">
        <f t="shared" si="11"/>
        <v>0</v>
      </c>
      <c r="AK77" s="4">
        <f t="shared" si="12"/>
        <v>0</v>
      </c>
    </row>
    <row r="78" spans="1:37" x14ac:dyDescent="0.25">
      <c r="A78" s="2">
        <v>73</v>
      </c>
      <c r="B78" s="2">
        <f>Annual_Report!B74</f>
        <v>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4">
        <f t="shared" si="9"/>
        <v>0</v>
      </c>
      <c r="AI78" s="4">
        <f t="shared" si="10"/>
        <v>0</v>
      </c>
      <c r="AJ78" s="4">
        <f t="shared" si="11"/>
        <v>0</v>
      </c>
      <c r="AK78" s="4">
        <f t="shared" si="12"/>
        <v>0</v>
      </c>
    </row>
    <row r="79" spans="1:37" x14ac:dyDescent="0.25">
      <c r="A79" s="2">
        <v>74</v>
      </c>
      <c r="B79" s="2">
        <f>Annual_Report!B75</f>
        <v>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4">
        <f t="shared" si="9"/>
        <v>0</v>
      </c>
      <c r="AI79" s="4">
        <f t="shared" si="10"/>
        <v>0</v>
      </c>
      <c r="AJ79" s="4">
        <f t="shared" si="11"/>
        <v>0</v>
      </c>
      <c r="AK79" s="4">
        <f t="shared" si="12"/>
        <v>0</v>
      </c>
    </row>
    <row r="80" spans="1:37" x14ac:dyDescent="0.25">
      <c r="A80" s="2">
        <v>75</v>
      </c>
      <c r="B80" s="2">
        <f>Annual_Report!B76</f>
        <v>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4">
        <f t="shared" si="9"/>
        <v>0</v>
      </c>
      <c r="AI80" s="4">
        <f t="shared" si="10"/>
        <v>0</v>
      </c>
      <c r="AJ80" s="4">
        <f t="shared" si="11"/>
        <v>0</v>
      </c>
      <c r="AK80" s="4">
        <f t="shared" si="12"/>
        <v>0</v>
      </c>
    </row>
    <row r="81" spans="1:37" x14ac:dyDescent="0.25">
      <c r="A81" s="2">
        <v>76</v>
      </c>
      <c r="B81" s="2">
        <f>Annual_Report!B77</f>
        <v>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4">
        <f t="shared" si="9"/>
        <v>0</v>
      </c>
      <c r="AI81" s="4">
        <f t="shared" si="10"/>
        <v>0</v>
      </c>
      <c r="AJ81" s="4">
        <f t="shared" si="11"/>
        <v>0</v>
      </c>
      <c r="AK81" s="4">
        <f t="shared" si="12"/>
        <v>0</v>
      </c>
    </row>
    <row r="82" spans="1:37" x14ac:dyDescent="0.25">
      <c r="A82" s="2">
        <v>77</v>
      </c>
      <c r="B82" s="2">
        <f>Annual_Report!B78</f>
        <v>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4">
        <f t="shared" si="9"/>
        <v>0</v>
      </c>
      <c r="AI82" s="4">
        <f t="shared" si="10"/>
        <v>0</v>
      </c>
      <c r="AJ82" s="4">
        <f t="shared" si="11"/>
        <v>0</v>
      </c>
      <c r="AK82" s="4">
        <f t="shared" si="12"/>
        <v>0</v>
      </c>
    </row>
    <row r="83" spans="1:37" x14ac:dyDescent="0.25">
      <c r="A83" s="2">
        <v>78</v>
      </c>
      <c r="B83" s="2">
        <f>Annual_Report!B79</f>
        <v>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4">
        <f t="shared" si="9"/>
        <v>0</v>
      </c>
      <c r="AI83" s="4">
        <f t="shared" si="10"/>
        <v>0</v>
      </c>
      <c r="AJ83" s="4">
        <f t="shared" si="11"/>
        <v>0</v>
      </c>
      <c r="AK83" s="4">
        <f t="shared" si="12"/>
        <v>0</v>
      </c>
    </row>
    <row r="84" spans="1:37" x14ac:dyDescent="0.25">
      <c r="A84" s="2">
        <v>79</v>
      </c>
      <c r="B84" s="2">
        <f>Annual_Report!B80</f>
        <v>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4">
        <f t="shared" si="9"/>
        <v>0</v>
      </c>
      <c r="AI84" s="4">
        <f t="shared" si="10"/>
        <v>0</v>
      </c>
      <c r="AJ84" s="4">
        <f t="shared" si="11"/>
        <v>0</v>
      </c>
      <c r="AK84" s="4">
        <f t="shared" si="12"/>
        <v>0</v>
      </c>
    </row>
    <row r="85" spans="1:37" x14ac:dyDescent="0.25">
      <c r="A85" s="2">
        <v>80</v>
      </c>
      <c r="B85" s="2">
        <f>Annual_Report!B81</f>
        <v>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4">
        <f t="shared" si="9"/>
        <v>0</v>
      </c>
      <c r="AI85" s="4">
        <f t="shared" si="10"/>
        <v>0</v>
      </c>
      <c r="AJ85" s="4">
        <f t="shared" si="11"/>
        <v>0</v>
      </c>
      <c r="AK85" s="4">
        <f t="shared" si="12"/>
        <v>0</v>
      </c>
    </row>
    <row r="86" spans="1:37" x14ac:dyDescent="0.25">
      <c r="A86" s="2">
        <v>81</v>
      </c>
      <c r="B86" s="2">
        <f>Annual_Report!B82</f>
        <v>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4">
        <f t="shared" si="9"/>
        <v>0</v>
      </c>
      <c r="AI86" s="4">
        <f t="shared" si="10"/>
        <v>0</v>
      </c>
      <c r="AJ86" s="4">
        <f t="shared" si="11"/>
        <v>0</v>
      </c>
      <c r="AK86" s="4">
        <f t="shared" si="12"/>
        <v>0</v>
      </c>
    </row>
    <row r="87" spans="1:37" x14ac:dyDescent="0.25">
      <c r="A87" s="2">
        <v>82</v>
      </c>
      <c r="B87" s="2">
        <f>Annual_Report!B83</f>
        <v>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4">
        <f t="shared" si="9"/>
        <v>0</v>
      </c>
      <c r="AI87" s="4">
        <f t="shared" si="10"/>
        <v>0</v>
      </c>
      <c r="AJ87" s="4">
        <f t="shared" si="11"/>
        <v>0</v>
      </c>
      <c r="AK87" s="4">
        <f t="shared" si="12"/>
        <v>0</v>
      </c>
    </row>
    <row r="88" spans="1:37" x14ac:dyDescent="0.25">
      <c r="A88" s="2">
        <v>83</v>
      </c>
      <c r="B88" s="2">
        <f>Annual_Report!B84</f>
        <v>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4">
        <f t="shared" si="9"/>
        <v>0</v>
      </c>
      <c r="AI88" s="4">
        <f t="shared" si="10"/>
        <v>0</v>
      </c>
      <c r="AJ88" s="4">
        <f t="shared" si="11"/>
        <v>0</v>
      </c>
      <c r="AK88" s="4">
        <f t="shared" si="12"/>
        <v>0</v>
      </c>
    </row>
    <row r="89" spans="1:37" x14ac:dyDescent="0.25">
      <c r="A89" s="2">
        <v>84</v>
      </c>
      <c r="B89" s="2">
        <f>Annual_Report!B85</f>
        <v>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4">
        <f t="shared" si="9"/>
        <v>0</v>
      </c>
      <c r="AI89" s="4">
        <f t="shared" si="10"/>
        <v>0</v>
      </c>
      <c r="AJ89" s="4">
        <f t="shared" si="11"/>
        <v>0</v>
      </c>
      <c r="AK89" s="4">
        <f t="shared" si="12"/>
        <v>0</v>
      </c>
    </row>
    <row r="90" spans="1:37" x14ac:dyDescent="0.25">
      <c r="A90" s="2">
        <v>85</v>
      </c>
      <c r="B90" s="2">
        <f>Annual_Report!B86</f>
        <v>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4">
        <f t="shared" si="9"/>
        <v>0</v>
      </c>
      <c r="AI90" s="4">
        <f t="shared" si="10"/>
        <v>0</v>
      </c>
      <c r="AJ90" s="4">
        <f t="shared" si="11"/>
        <v>0</v>
      </c>
      <c r="AK90" s="4">
        <f t="shared" si="12"/>
        <v>0</v>
      </c>
    </row>
    <row r="91" spans="1:37" x14ac:dyDescent="0.25">
      <c r="A91" s="2">
        <v>86</v>
      </c>
      <c r="B91" s="2">
        <f>Annual_Report!B87</f>
        <v>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4">
        <f t="shared" si="9"/>
        <v>0</v>
      </c>
      <c r="AI91" s="4">
        <f t="shared" si="10"/>
        <v>0</v>
      </c>
      <c r="AJ91" s="4">
        <f t="shared" si="11"/>
        <v>0</v>
      </c>
      <c r="AK91" s="4">
        <f t="shared" si="12"/>
        <v>0</v>
      </c>
    </row>
    <row r="92" spans="1:37" x14ac:dyDescent="0.25">
      <c r="A92" s="2">
        <v>87</v>
      </c>
      <c r="B92" s="2">
        <f>Annual_Report!B88</f>
        <v>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4">
        <f t="shared" si="9"/>
        <v>0</v>
      </c>
      <c r="AI92" s="4">
        <f t="shared" si="10"/>
        <v>0</v>
      </c>
      <c r="AJ92" s="4">
        <f t="shared" si="11"/>
        <v>0</v>
      </c>
      <c r="AK92" s="4">
        <f t="shared" si="12"/>
        <v>0</v>
      </c>
    </row>
    <row r="93" spans="1:37" x14ac:dyDescent="0.25">
      <c r="A93" s="2">
        <v>88</v>
      </c>
      <c r="B93" s="2">
        <f>Annual_Report!B89</f>
        <v>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4">
        <f t="shared" si="9"/>
        <v>0</v>
      </c>
      <c r="AI93" s="4">
        <f t="shared" si="10"/>
        <v>0</v>
      </c>
      <c r="AJ93" s="4">
        <f t="shared" si="11"/>
        <v>0</v>
      </c>
      <c r="AK93" s="4">
        <f t="shared" si="12"/>
        <v>0</v>
      </c>
    </row>
    <row r="94" spans="1:37" x14ac:dyDescent="0.25">
      <c r="A94" s="2">
        <v>89</v>
      </c>
      <c r="B94" s="2">
        <f>Annual_Report!B90</f>
        <v>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4">
        <f t="shared" si="9"/>
        <v>0</v>
      </c>
      <c r="AI94" s="4">
        <f t="shared" si="10"/>
        <v>0</v>
      </c>
      <c r="AJ94" s="4">
        <f t="shared" si="11"/>
        <v>0</v>
      </c>
      <c r="AK94" s="4">
        <f t="shared" si="12"/>
        <v>0</v>
      </c>
    </row>
    <row r="95" spans="1:37" x14ac:dyDescent="0.25">
      <c r="A95" s="2">
        <v>90</v>
      </c>
      <c r="B95" s="2">
        <f>Annual_Report!B91</f>
        <v>0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4">
        <f t="shared" si="9"/>
        <v>0</v>
      </c>
      <c r="AI95" s="4">
        <f t="shared" si="10"/>
        <v>0</v>
      </c>
      <c r="AJ95" s="4">
        <f t="shared" si="11"/>
        <v>0</v>
      </c>
      <c r="AK95" s="4">
        <f t="shared" si="12"/>
        <v>0</v>
      </c>
    </row>
    <row r="96" spans="1:37" x14ac:dyDescent="0.25">
      <c r="A96" s="2">
        <v>91</v>
      </c>
      <c r="B96" s="2">
        <f>Annual_Report!B92</f>
        <v>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4">
        <f t="shared" si="9"/>
        <v>0</v>
      </c>
      <c r="AI96" s="4">
        <f t="shared" si="10"/>
        <v>0</v>
      </c>
      <c r="AJ96" s="4">
        <f t="shared" si="11"/>
        <v>0</v>
      </c>
      <c r="AK96" s="4">
        <f t="shared" si="12"/>
        <v>0</v>
      </c>
    </row>
    <row r="97" spans="1:37" x14ac:dyDescent="0.25">
      <c r="A97" s="2">
        <v>92</v>
      </c>
      <c r="B97" s="2">
        <f>Annual_Report!B93</f>
        <v>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4">
        <f t="shared" si="9"/>
        <v>0</v>
      </c>
      <c r="AI97" s="4">
        <f t="shared" si="10"/>
        <v>0</v>
      </c>
      <c r="AJ97" s="4">
        <f t="shared" si="11"/>
        <v>0</v>
      </c>
      <c r="AK97" s="4">
        <f t="shared" si="12"/>
        <v>0</v>
      </c>
    </row>
    <row r="98" spans="1:37" x14ac:dyDescent="0.25">
      <c r="A98" s="2">
        <v>93</v>
      </c>
      <c r="B98" s="2">
        <f>Annual_Report!B94</f>
        <v>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4">
        <f t="shared" si="9"/>
        <v>0</v>
      </c>
      <c r="AI98" s="4">
        <f t="shared" si="10"/>
        <v>0</v>
      </c>
      <c r="AJ98" s="4">
        <f t="shared" si="11"/>
        <v>0</v>
      </c>
      <c r="AK98" s="4">
        <f t="shared" si="12"/>
        <v>0</v>
      </c>
    </row>
    <row r="99" spans="1:37" x14ac:dyDescent="0.25">
      <c r="A99" s="2">
        <v>94</v>
      </c>
      <c r="B99" s="2">
        <f>Annual_Report!B95</f>
        <v>0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4">
        <f t="shared" si="9"/>
        <v>0</v>
      </c>
      <c r="AI99" s="4">
        <f t="shared" si="10"/>
        <v>0</v>
      </c>
      <c r="AJ99" s="4">
        <f t="shared" si="11"/>
        <v>0</v>
      </c>
      <c r="AK99" s="4">
        <f t="shared" si="12"/>
        <v>0</v>
      </c>
    </row>
    <row r="100" spans="1:37" x14ac:dyDescent="0.25">
      <c r="A100" s="2">
        <v>95</v>
      </c>
      <c r="B100" s="2">
        <f>Annual_Report!B96</f>
        <v>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4">
        <f t="shared" si="9"/>
        <v>0</v>
      </c>
      <c r="AI100" s="4">
        <f t="shared" si="10"/>
        <v>0</v>
      </c>
      <c r="AJ100" s="4">
        <f t="shared" si="11"/>
        <v>0</v>
      </c>
      <c r="AK100" s="4">
        <f t="shared" si="12"/>
        <v>0</v>
      </c>
    </row>
    <row r="101" spans="1:37" x14ac:dyDescent="0.25">
      <c r="A101" s="2">
        <v>96</v>
      </c>
      <c r="B101" s="2">
        <f>Annual_Report!B97</f>
        <v>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4">
        <f t="shared" si="9"/>
        <v>0</v>
      </c>
      <c r="AI101" s="4">
        <f t="shared" si="10"/>
        <v>0</v>
      </c>
      <c r="AJ101" s="4">
        <f t="shared" si="11"/>
        <v>0</v>
      </c>
      <c r="AK101" s="4">
        <f t="shared" si="12"/>
        <v>0</v>
      </c>
    </row>
    <row r="102" spans="1:37" x14ac:dyDescent="0.25">
      <c r="A102" s="2">
        <v>97</v>
      </c>
      <c r="B102" s="2">
        <f>Annual_Report!B98</f>
        <v>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4">
        <f t="shared" si="9"/>
        <v>0</v>
      </c>
      <c r="AI102" s="4">
        <f t="shared" si="10"/>
        <v>0</v>
      </c>
      <c r="AJ102" s="4">
        <f t="shared" si="11"/>
        <v>0</v>
      </c>
      <c r="AK102" s="4">
        <f t="shared" si="12"/>
        <v>0</v>
      </c>
    </row>
    <row r="103" spans="1:37" x14ac:dyDescent="0.25">
      <c r="A103" s="2">
        <v>98</v>
      </c>
      <c r="B103" s="2">
        <f>Annual_Report!B99</f>
        <v>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4">
        <f t="shared" si="9"/>
        <v>0</v>
      </c>
      <c r="AI103" s="4">
        <f t="shared" si="10"/>
        <v>0</v>
      </c>
      <c r="AJ103" s="4">
        <f t="shared" si="11"/>
        <v>0</v>
      </c>
      <c r="AK103" s="4">
        <f t="shared" si="12"/>
        <v>0</v>
      </c>
    </row>
    <row r="104" spans="1:37" x14ac:dyDescent="0.25">
      <c r="A104" s="2">
        <v>99</v>
      </c>
      <c r="B104" s="2">
        <f>Annual_Report!B100</f>
        <v>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4">
        <f t="shared" si="9"/>
        <v>0</v>
      </c>
      <c r="AI104" s="4">
        <f t="shared" si="10"/>
        <v>0</v>
      </c>
      <c r="AJ104" s="4">
        <f t="shared" si="11"/>
        <v>0</v>
      </c>
      <c r="AK104" s="4">
        <f t="shared" si="12"/>
        <v>0</v>
      </c>
    </row>
    <row r="105" spans="1:37" x14ac:dyDescent="0.25">
      <c r="A105" s="2">
        <v>100</v>
      </c>
      <c r="B105" s="2">
        <f>Annual_Report!B101</f>
        <v>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4">
        <f t="shared" si="9"/>
        <v>0</v>
      </c>
      <c r="AI105" s="4">
        <f t="shared" si="10"/>
        <v>0</v>
      </c>
      <c r="AJ105" s="4">
        <f t="shared" si="11"/>
        <v>0</v>
      </c>
      <c r="AK105" s="4">
        <f t="shared" si="12"/>
        <v>0</v>
      </c>
    </row>
  </sheetData>
  <conditionalFormatting sqref="C6:AG105">
    <cfRule type="cellIs" dxfId="59" priority="1" stopIfTrue="1" operator="equal">
      <formula>"ح"</formula>
    </cfRule>
    <cfRule type="cellIs" dxfId="58" priority="2" stopIfTrue="1" operator="equal">
      <formula>"غ"</formula>
    </cfRule>
    <cfRule type="cellIs" dxfId="57" priority="3" stopIfTrue="1" operator="equal">
      <formula>"ج"</formula>
    </cfRule>
    <cfRule type="cellIs" dxfId="56" priority="4" stopIfTrue="1" operator="equal">
      <formula>"م"</formula>
    </cfRule>
    <cfRule type="cellIs" dxfId="55" priority="5" stopIfTrue="1" operator="equal">
      <formula>"ج"</formula>
    </cfRule>
    <cfRule type="cellIs" dxfId="54" priority="6" stopIfTrue="1" operator="equal">
      <formula>"م"</formula>
    </cfRule>
  </conditionalFormatting>
  <dataValidations count="1">
    <dataValidation type="list" allowBlank="1" showErrorMessage="1" errorTitle="خطأ في الإدخال" error="يرجى استخدام الحروف الصحيحة: ح - غ - ج - م" sqref="C6:AG105" xr:uid="{D0E24BDD-6482-4A05-8DC6-C12CE2ECAE61}">
      <formula1>"ح,غ,ج,م"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6D5E5-B5D3-45DC-8D47-1775345D5FE4}">
  <sheetPr codeName="Sheet84"/>
  <dimension ref="A1:AK105"/>
  <sheetViews>
    <sheetView rightToLeft="1" topLeftCell="A4" workbookViewId="0">
      <selection activeCell="Z8" sqref="Z8"/>
    </sheetView>
  </sheetViews>
  <sheetFormatPr defaultRowHeight="15" x14ac:dyDescent="0.25"/>
  <cols>
    <col min="1" max="1" width="4.7109375" customWidth="1"/>
    <col min="2" max="2" width="25.7109375" customWidth="1"/>
    <col min="3" max="33" width="4.7109375" customWidth="1"/>
    <col min="34" max="34" width="5.85546875" bestFit="1" customWidth="1"/>
    <col min="35" max="35" width="4.7109375" bestFit="1" customWidth="1"/>
    <col min="36" max="36" width="4.5703125" bestFit="1" customWidth="1"/>
    <col min="37" max="37" width="6" bestFit="1" customWidth="1"/>
  </cols>
  <sheetData>
    <row r="1" spans="1:37" x14ac:dyDescent="0.25">
      <c r="A1" s="6"/>
      <c r="B1" s="6"/>
      <c r="C1" s="5" t="s">
        <v>9</v>
      </c>
      <c r="D1" s="5" t="s">
        <v>0</v>
      </c>
      <c r="E1" s="5" t="s">
        <v>1</v>
      </c>
      <c r="F1" s="5" t="s">
        <v>10</v>
      </c>
      <c r="G1" s="5" t="s">
        <v>11</v>
      </c>
    </row>
    <row r="2" spans="1:37" x14ac:dyDescent="0.25">
      <c r="A2" s="6"/>
      <c r="B2" s="6"/>
      <c r="C2" s="5" t="s">
        <v>12</v>
      </c>
      <c r="D2" s="5" t="s">
        <v>6</v>
      </c>
      <c r="E2" s="5" t="s">
        <v>7</v>
      </c>
      <c r="F2" s="5" t="s">
        <v>8</v>
      </c>
      <c r="G2" s="5" t="s">
        <v>2</v>
      </c>
    </row>
    <row r="4" spans="1:37" ht="65.099999999999994" customHeight="1" x14ac:dyDescent="0.25">
      <c r="A4" s="2" t="s">
        <v>2</v>
      </c>
      <c r="B4" s="2" t="s">
        <v>3</v>
      </c>
      <c r="C4" s="1" t="str">
        <f>CHOOSE(WEEKDAY(C5), "الأحد","الاثنين","الثلاثاء","الأربعاء","الخميس","الجمعة","السبت")</f>
        <v>الأربعاء</v>
      </c>
      <c r="D4" s="1" t="str">
        <f t="shared" ref="D4:AG4" si="0">CHOOSE(WEEKDAY(D5), "الأحد","الاثنين","الثلاثاء","الأربعاء","الخميس","الجمعة","السبت")</f>
        <v>الخميس</v>
      </c>
      <c r="E4" s="1" t="str">
        <f t="shared" si="0"/>
        <v>الجمعة</v>
      </c>
      <c r="F4" s="1" t="str">
        <f t="shared" si="0"/>
        <v>السبت</v>
      </c>
      <c r="G4" s="1" t="str">
        <f t="shared" si="0"/>
        <v>الأحد</v>
      </c>
      <c r="H4" s="1" t="str">
        <f t="shared" si="0"/>
        <v>الاثنين</v>
      </c>
      <c r="I4" s="1" t="str">
        <f t="shared" si="0"/>
        <v>الثلاثاء</v>
      </c>
      <c r="J4" s="1" t="str">
        <f t="shared" si="0"/>
        <v>الأربعاء</v>
      </c>
      <c r="K4" s="1" t="str">
        <f t="shared" si="0"/>
        <v>الخميس</v>
      </c>
      <c r="L4" s="1" t="str">
        <f t="shared" si="0"/>
        <v>الجمعة</v>
      </c>
      <c r="M4" s="1" t="str">
        <f t="shared" si="0"/>
        <v>السبت</v>
      </c>
      <c r="N4" s="1" t="str">
        <f t="shared" si="0"/>
        <v>الأحد</v>
      </c>
      <c r="O4" s="1" t="str">
        <f t="shared" si="0"/>
        <v>الاثنين</v>
      </c>
      <c r="P4" s="1" t="str">
        <f t="shared" si="0"/>
        <v>الثلاثاء</v>
      </c>
      <c r="Q4" s="1" t="str">
        <f t="shared" si="0"/>
        <v>الأربعاء</v>
      </c>
      <c r="R4" s="1" t="str">
        <f t="shared" si="0"/>
        <v>الخميس</v>
      </c>
      <c r="S4" s="1" t="str">
        <f t="shared" si="0"/>
        <v>الجمعة</v>
      </c>
      <c r="T4" s="1" t="str">
        <f t="shared" si="0"/>
        <v>السبت</v>
      </c>
      <c r="U4" s="1" t="str">
        <f t="shared" si="0"/>
        <v>الأحد</v>
      </c>
      <c r="V4" s="1" t="str">
        <f t="shared" si="0"/>
        <v>الاثنين</v>
      </c>
      <c r="W4" s="1" t="str">
        <f t="shared" si="0"/>
        <v>الثلاثاء</v>
      </c>
      <c r="X4" s="1" t="str">
        <f t="shared" si="0"/>
        <v>الأربعاء</v>
      </c>
      <c r="Y4" s="1" t="str">
        <f t="shared" si="0"/>
        <v>الخميس</v>
      </c>
      <c r="Z4" s="1" t="str">
        <f t="shared" si="0"/>
        <v>الجمعة</v>
      </c>
      <c r="AA4" s="1" t="str">
        <f t="shared" si="0"/>
        <v>السبت</v>
      </c>
      <c r="AB4" s="1" t="str">
        <f t="shared" si="0"/>
        <v>الأحد</v>
      </c>
      <c r="AC4" s="1" t="str">
        <f t="shared" si="0"/>
        <v>الاثنين</v>
      </c>
      <c r="AD4" s="1" t="str">
        <f t="shared" si="0"/>
        <v>الثلاثاء</v>
      </c>
      <c r="AE4" s="1" t="str">
        <f t="shared" si="0"/>
        <v>الأربعاء</v>
      </c>
      <c r="AF4" s="1" t="str">
        <f t="shared" si="0"/>
        <v>الخميس</v>
      </c>
      <c r="AG4" s="1" t="str">
        <f t="shared" si="0"/>
        <v>السبت</v>
      </c>
      <c r="AH4" s="9" t="s">
        <v>0</v>
      </c>
      <c r="AI4" s="9" t="s">
        <v>1</v>
      </c>
      <c r="AJ4" s="9" t="s">
        <v>10</v>
      </c>
      <c r="AK4" s="9" t="s">
        <v>11</v>
      </c>
    </row>
    <row r="5" spans="1:37" x14ac:dyDescent="0.25">
      <c r="A5" s="2"/>
      <c r="B5" s="2"/>
      <c r="C5" s="3" cm="1">
        <f t="array" ref="C5:AF5">_xlfn.SEQUENCE(1, DAY(EOMONTH(DATE(2026,4,1),0)), DATE(2026,4,1))</f>
        <v>46113</v>
      </c>
      <c r="D5" s="3">
        <v>46114</v>
      </c>
      <c r="E5" s="3">
        <v>46115</v>
      </c>
      <c r="F5" s="3">
        <v>46116</v>
      </c>
      <c r="G5" s="3">
        <v>46117</v>
      </c>
      <c r="H5" s="3">
        <v>46118</v>
      </c>
      <c r="I5" s="3">
        <v>46119</v>
      </c>
      <c r="J5" s="3">
        <v>46120</v>
      </c>
      <c r="K5" s="3">
        <v>46121</v>
      </c>
      <c r="L5" s="3">
        <v>46122</v>
      </c>
      <c r="M5" s="3">
        <v>46123</v>
      </c>
      <c r="N5" s="3">
        <v>46124</v>
      </c>
      <c r="O5" s="3">
        <v>46125</v>
      </c>
      <c r="P5" s="3">
        <v>46126</v>
      </c>
      <c r="Q5" s="3">
        <v>46127</v>
      </c>
      <c r="R5" s="3">
        <v>46128</v>
      </c>
      <c r="S5" s="3">
        <v>46129</v>
      </c>
      <c r="T5" s="3">
        <v>46130</v>
      </c>
      <c r="U5" s="3">
        <v>46131</v>
      </c>
      <c r="V5" s="3">
        <v>46132</v>
      </c>
      <c r="W5" s="3">
        <v>46133</v>
      </c>
      <c r="X5" s="3">
        <v>46134</v>
      </c>
      <c r="Y5" s="3">
        <v>46135</v>
      </c>
      <c r="Z5" s="3">
        <v>46136</v>
      </c>
      <c r="AA5" s="3">
        <v>46137</v>
      </c>
      <c r="AB5" s="3">
        <v>46138</v>
      </c>
      <c r="AC5" s="3">
        <v>46139</v>
      </c>
      <c r="AD5" s="3">
        <v>46140</v>
      </c>
      <c r="AE5" s="3">
        <v>46141</v>
      </c>
      <c r="AF5" s="3">
        <v>46142</v>
      </c>
      <c r="AG5" s="3"/>
      <c r="AH5" s="4"/>
      <c r="AI5" s="4"/>
      <c r="AJ5" s="4"/>
      <c r="AK5" s="4"/>
    </row>
    <row r="6" spans="1:37" x14ac:dyDescent="0.25">
      <c r="A6" s="2">
        <v>1</v>
      </c>
      <c r="B6" s="2">
        <f>Annual_Report!B2</f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4">
        <f t="shared" ref="AH6:AH37" si="1">COUNTIF($C6:$AG6, "ح")</f>
        <v>0</v>
      </c>
      <c r="AI6" s="4">
        <f t="shared" ref="AI6:AI37" si="2">COUNTIF($C6:$AG6, "غ")</f>
        <v>0</v>
      </c>
      <c r="AJ6" s="4">
        <f t="shared" ref="AJ6:AJ37" si="3">COUNTIF($C6:$AG6, "ج")</f>
        <v>0</v>
      </c>
      <c r="AK6" s="4">
        <f t="shared" ref="AK6:AK37" si="4">COUNTIF($C6:$AG6, "م")</f>
        <v>0</v>
      </c>
    </row>
    <row r="7" spans="1:37" x14ac:dyDescent="0.25">
      <c r="A7" s="2">
        <v>2</v>
      </c>
      <c r="B7" s="2">
        <f>Annual_Report!B3</f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4">
        <f t="shared" si="1"/>
        <v>0</v>
      </c>
      <c r="AI7" s="4">
        <f t="shared" si="2"/>
        <v>0</v>
      </c>
      <c r="AJ7" s="4">
        <f t="shared" si="3"/>
        <v>0</v>
      </c>
      <c r="AK7" s="4">
        <f t="shared" si="4"/>
        <v>0</v>
      </c>
    </row>
    <row r="8" spans="1:37" x14ac:dyDescent="0.25">
      <c r="A8" s="2">
        <v>3</v>
      </c>
      <c r="B8" s="2">
        <f>Annual_Report!B4</f>
        <v>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4">
        <f t="shared" si="1"/>
        <v>0</v>
      </c>
      <c r="AI8" s="4">
        <f t="shared" si="2"/>
        <v>0</v>
      </c>
      <c r="AJ8" s="4">
        <f t="shared" si="3"/>
        <v>0</v>
      </c>
      <c r="AK8" s="4">
        <f t="shared" si="4"/>
        <v>0</v>
      </c>
    </row>
    <row r="9" spans="1:37" x14ac:dyDescent="0.25">
      <c r="A9" s="2">
        <v>4</v>
      </c>
      <c r="B9" s="2">
        <f>Annual_Report!B5</f>
        <v>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4">
        <f t="shared" si="1"/>
        <v>0</v>
      </c>
      <c r="AI9" s="4">
        <f t="shared" si="2"/>
        <v>0</v>
      </c>
      <c r="AJ9" s="4">
        <f t="shared" si="3"/>
        <v>0</v>
      </c>
      <c r="AK9" s="4">
        <f t="shared" si="4"/>
        <v>0</v>
      </c>
    </row>
    <row r="10" spans="1:37" x14ac:dyDescent="0.25">
      <c r="A10" s="2">
        <v>5</v>
      </c>
      <c r="B10" s="2">
        <f>Annual_Report!B6</f>
        <v>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4">
        <f t="shared" si="1"/>
        <v>0</v>
      </c>
      <c r="AI10" s="4">
        <f t="shared" si="2"/>
        <v>0</v>
      </c>
      <c r="AJ10" s="4">
        <f t="shared" si="3"/>
        <v>0</v>
      </c>
      <c r="AK10" s="4">
        <f t="shared" si="4"/>
        <v>0</v>
      </c>
    </row>
    <row r="11" spans="1:37" x14ac:dyDescent="0.25">
      <c r="A11" s="2">
        <v>6</v>
      </c>
      <c r="B11" s="2">
        <f>Annual_Report!B7</f>
        <v>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4">
        <f t="shared" si="1"/>
        <v>0</v>
      </c>
      <c r="AI11" s="4">
        <f t="shared" si="2"/>
        <v>0</v>
      </c>
      <c r="AJ11" s="4">
        <f t="shared" si="3"/>
        <v>0</v>
      </c>
      <c r="AK11" s="4">
        <f t="shared" si="4"/>
        <v>0</v>
      </c>
    </row>
    <row r="12" spans="1:37" x14ac:dyDescent="0.25">
      <c r="A12" s="2">
        <v>7</v>
      </c>
      <c r="B12" s="2">
        <f>Annual_Report!B8</f>
        <v>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4">
        <f t="shared" si="1"/>
        <v>0</v>
      </c>
      <c r="AI12" s="4">
        <f t="shared" si="2"/>
        <v>0</v>
      </c>
      <c r="AJ12" s="4">
        <f t="shared" si="3"/>
        <v>0</v>
      </c>
      <c r="AK12" s="4">
        <f t="shared" si="4"/>
        <v>0</v>
      </c>
    </row>
    <row r="13" spans="1:37" x14ac:dyDescent="0.25">
      <c r="A13" s="2">
        <v>8</v>
      </c>
      <c r="B13" s="2">
        <f>Annual_Report!B9</f>
        <v>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4">
        <f t="shared" si="1"/>
        <v>0</v>
      </c>
      <c r="AI13" s="4">
        <f t="shared" si="2"/>
        <v>0</v>
      </c>
      <c r="AJ13" s="4">
        <f t="shared" si="3"/>
        <v>0</v>
      </c>
      <c r="AK13" s="4">
        <f t="shared" si="4"/>
        <v>0</v>
      </c>
    </row>
    <row r="14" spans="1:37" x14ac:dyDescent="0.25">
      <c r="A14" s="2">
        <v>9</v>
      </c>
      <c r="B14" s="2">
        <f>Annual_Report!B10</f>
        <v>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4">
        <f t="shared" si="1"/>
        <v>0</v>
      </c>
      <c r="AI14" s="4">
        <f t="shared" si="2"/>
        <v>0</v>
      </c>
      <c r="AJ14" s="4">
        <f t="shared" si="3"/>
        <v>0</v>
      </c>
      <c r="AK14" s="4">
        <f t="shared" si="4"/>
        <v>0</v>
      </c>
    </row>
    <row r="15" spans="1:37" x14ac:dyDescent="0.25">
      <c r="A15" s="2">
        <v>10</v>
      </c>
      <c r="B15" s="2">
        <f>Annual_Report!B11</f>
        <v>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4">
        <f t="shared" si="1"/>
        <v>0</v>
      </c>
      <c r="AI15" s="4">
        <f t="shared" si="2"/>
        <v>0</v>
      </c>
      <c r="AJ15" s="4">
        <f t="shared" si="3"/>
        <v>0</v>
      </c>
      <c r="AK15" s="4">
        <f t="shared" si="4"/>
        <v>0</v>
      </c>
    </row>
    <row r="16" spans="1:37" x14ac:dyDescent="0.25">
      <c r="A16" s="2">
        <v>11</v>
      </c>
      <c r="B16" s="2">
        <f>Annual_Report!B12</f>
        <v>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4">
        <f t="shared" si="1"/>
        <v>0</v>
      </c>
      <c r="AI16" s="4">
        <f t="shared" si="2"/>
        <v>0</v>
      </c>
      <c r="AJ16" s="4">
        <f t="shared" si="3"/>
        <v>0</v>
      </c>
      <c r="AK16" s="4">
        <f t="shared" si="4"/>
        <v>0</v>
      </c>
    </row>
    <row r="17" spans="1:37" x14ac:dyDescent="0.25">
      <c r="A17" s="2">
        <v>12</v>
      </c>
      <c r="B17" s="2">
        <f>Annual_Report!B13</f>
        <v>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4">
        <f t="shared" si="1"/>
        <v>0</v>
      </c>
      <c r="AI17" s="4">
        <f t="shared" si="2"/>
        <v>0</v>
      </c>
      <c r="AJ17" s="4">
        <f t="shared" si="3"/>
        <v>0</v>
      </c>
      <c r="AK17" s="4">
        <f t="shared" si="4"/>
        <v>0</v>
      </c>
    </row>
    <row r="18" spans="1:37" x14ac:dyDescent="0.25">
      <c r="A18" s="2">
        <v>13</v>
      </c>
      <c r="B18" s="2">
        <f>Annual_Report!B14</f>
        <v>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4">
        <f t="shared" si="1"/>
        <v>0</v>
      </c>
      <c r="AI18" s="4">
        <f t="shared" si="2"/>
        <v>0</v>
      </c>
      <c r="AJ18" s="4">
        <f t="shared" si="3"/>
        <v>0</v>
      </c>
      <c r="AK18" s="4">
        <f t="shared" si="4"/>
        <v>0</v>
      </c>
    </row>
    <row r="19" spans="1:37" x14ac:dyDescent="0.25">
      <c r="A19" s="2">
        <v>14</v>
      </c>
      <c r="B19" s="2">
        <f>Annual_Report!B15</f>
        <v>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4">
        <f t="shared" si="1"/>
        <v>0</v>
      </c>
      <c r="AI19" s="4">
        <f t="shared" si="2"/>
        <v>0</v>
      </c>
      <c r="AJ19" s="4">
        <f t="shared" si="3"/>
        <v>0</v>
      </c>
      <c r="AK19" s="4">
        <f t="shared" si="4"/>
        <v>0</v>
      </c>
    </row>
    <row r="20" spans="1:37" x14ac:dyDescent="0.25">
      <c r="A20" s="2">
        <v>15</v>
      </c>
      <c r="B20" s="2">
        <f>Annual_Report!B16</f>
        <v>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4">
        <f t="shared" si="1"/>
        <v>0</v>
      </c>
      <c r="AI20" s="4">
        <f t="shared" si="2"/>
        <v>0</v>
      </c>
      <c r="AJ20" s="4">
        <f t="shared" si="3"/>
        <v>0</v>
      </c>
      <c r="AK20" s="4">
        <f t="shared" si="4"/>
        <v>0</v>
      </c>
    </row>
    <row r="21" spans="1:37" x14ac:dyDescent="0.25">
      <c r="A21" s="2">
        <v>16</v>
      </c>
      <c r="B21" s="2">
        <f>Annual_Report!B17</f>
        <v>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4">
        <f t="shared" si="1"/>
        <v>0</v>
      </c>
      <c r="AI21" s="4">
        <f t="shared" si="2"/>
        <v>0</v>
      </c>
      <c r="AJ21" s="4">
        <f t="shared" si="3"/>
        <v>0</v>
      </c>
      <c r="AK21" s="4">
        <f t="shared" si="4"/>
        <v>0</v>
      </c>
    </row>
    <row r="22" spans="1:37" x14ac:dyDescent="0.25">
      <c r="A22" s="2">
        <v>17</v>
      </c>
      <c r="B22" s="2">
        <f>Annual_Report!B18</f>
        <v>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4">
        <f t="shared" si="1"/>
        <v>0</v>
      </c>
      <c r="AI22" s="4">
        <f t="shared" si="2"/>
        <v>0</v>
      </c>
      <c r="AJ22" s="4">
        <f t="shared" si="3"/>
        <v>0</v>
      </c>
      <c r="AK22" s="4">
        <f t="shared" si="4"/>
        <v>0</v>
      </c>
    </row>
    <row r="23" spans="1:37" x14ac:dyDescent="0.25">
      <c r="A23" s="2">
        <v>18</v>
      </c>
      <c r="B23" s="2">
        <f>Annual_Report!B19</f>
        <v>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4">
        <f t="shared" si="1"/>
        <v>0</v>
      </c>
      <c r="AI23" s="4">
        <f t="shared" si="2"/>
        <v>0</v>
      </c>
      <c r="AJ23" s="4">
        <f t="shared" si="3"/>
        <v>0</v>
      </c>
      <c r="AK23" s="4">
        <f t="shared" si="4"/>
        <v>0</v>
      </c>
    </row>
    <row r="24" spans="1:37" x14ac:dyDescent="0.25">
      <c r="A24" s="2">
        <v>19</v>
      </c>
      <c r="B24" s="2">
        <f>Annual_Report!B20</f>
        <v>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4">
        <f t="shared" si="1"/>
        <v>0</v>
      </c>
      <c r="AI24" s="4">
        <f t="shared" si="2"/>
        <v>0</v>
      </c>
      <c r="AJ24" s="4">
        <f t="shared" si="3"/>
        <v>0</v>
      </c>
      <c r="AK24" s="4">
        <f t="shared" si="4"/>
        <v>0</v>
      </c>
    </row>
    <row r="25" spans="1:37" x14ac:dyDescent="0.25">
      <c r="A25" s="2">
        <v>20</v>
      </c>
      <c r="B25" s="2">
        <f>Annual_Report!B21</f>
        <v>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4">
        <f t="shared" si="1"/>
        <v>0</v>
      </c>
      <c r="AI25" s="4">
        <f t="shared" si="2"/>
        <v>0</v>
      </c>
      <c r="AJ25" s="4">
        <f t="shared" si="3"/>
        <v>0</v>
      </c>
      <c r="AK25" s="4">
        <f t="shared" si="4"/>
        <v>0</v>
      </c>
    </row>
    <row r="26" spans="1:37" x14ac:dyDescent="0.25">
      <c r="A26" s="2">
        <v>21</v>
      </c>
      <c r="B26" s="2">
        <f>Annual_Report!B22</f>
        <v>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4">
        <f t="shared" si="1"/>
        <v>0</v>
      </c>
      <c r="AI26" s="4">
        <f t="shared" si="2"/>
        <v>0</v>
      </c>
      <c r="AJ26" s="4">
        <f t="shared" si="3"/>
        <v>0</v>
      </c>
      <c r="AK26" s="4">
        <f t="shared" si="4"/>
        <v>0</v>
      </c>
    </row>
    <row r="27" spans="1:37" x14ac:dyDescent="0.25">
      <c r="A27" s="2">
        <v>22</v>
      </c>
      <c r="B27" s="2">
        <f>Annual_Report!B23</f>
        <v>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4">
        <f t="shared" si="1"/>
        <v>0</v>
      </c>
      <c r="AI27" s="4">
        <f t="shared" si="2"/>
        <v>0</v>
      </c>
      <c r="AJ27" s="4">
        <f t="shared" si="3"/>
        <v>0</v>
      </c>
      <c r="AK27" s="4">
        <f t="shared" si="4"/>
        <v>0</v>
      </c>
    </row>
    <row r="28" spans="1:37" x14ac:dyDescent="0.25">
      <c r="A28" s="2">
        <v>23</v>
      </c>
      <c r="B28" s="2">
        <f>Annual_Report!B24</f>
        <v>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4">
        <f t="shared" si="1"/>
        <v>0</v>
      </c>
      <c r="AI28" s="4">
        <f t="shared" si="2"/>
        <v>0</v>
      </c>
      <c r="AJ28" s="4">
        <f t="shared" si="3"/>
        <v>0</v>
      </c>
      <c r="AK28" s="4">
        <f t="shared" si="4"/>
        <v>0</v>
      </c>
    </row>
    <row r="29" spans="1:37" x14ac:dyDescent="0.25">
      <c r="A29" s="2">
        <v>24</v>
      </c>
      <c r="B29" s="2">
        <f>Annual_Report!B25</f>
        <v>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4">
        <f t="shared" si="1"/>
        <v>0</v>
      </c>
      <c r="AI29" s="4">
        <f t="shared" si="2"/>
        <v>0</v>
      </c>
      <c r="AJ29" s="4">
        <f t="shared" si="3"/>
        <v>0</v>
      </c>
      <c r="AK29" s="4">
        <f t="shared" si="4"/>
        <v>0</v>
      </c>
    </row>
    <row r="30" spans="1:37" x14ac:dyDescent="0.25">
      <c r="A30" s="2">
        <v>25</v>
      </c>
      <c r="B30" s="2">
        <f>Annual_Report!B26</f>
        <v>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4">
        <f t="shared" si="1"/>
        <v>0</v>
      </c>
      <c r="AI30" s="4">
        <f t="shared" si="2"/>
        <v>0</v>
      </c>
      <c r="AJ30" s="4">
        <f t="shared" si="3"/>
        <v>0</v>
      </c>
      <c r="AK30" s="4">
        <f t="shared" si="4"/>
        <v>0</v>
      </c>
    </row>
    <row r="31" spans="1:37" x14ac:dyDescent="0.25">
      <c r="A31" s="2">
        <v>26</v>
      </c>
      <c r="B31" s="2">
        <f>Annual_Report!B27</f>
        <v>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4">
        <f t="shared" si="1"/>
        <v>0</v>
      </c>
      <c r="AI31" s="4">
        <f t="shared" si="2"/>
        <v>0</v>
      </c>
      <c r="AJ31" s="4">
        <f t="shared" si="3"/>
        <v>0</v>
      </c>
      <c r="AK31" s="4">
        <f t="shared" si="4"/>
        <v>0</v>
      </c>
    </row>
    <row r="32" spans="1:37" x14ac:dyDescent="0.25">
      <c r="A32" s="2">
        <v>27</v>
      </c>
      <c r="B32" s="2">
        <f>Annual_Report!B28</f>
        <v>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4">
        <f t="shared" si="1"/>
        <v>0</v>
      </c>
      <c r="AI32" s="4">
        <f t="shared" si="2"/>
        <v>0</v>
      </c>
      <c r="AJ32" s="4">
        <f t="shared" si="3"/>
        <v>0</v>
      </c>
      <c r="AK32" s="4">
        <f t="shared" si="4"/>
        <v>0</v>
      </c>
    </row>
    <row r="33" spans="1:37" x14ac:dyDescent="0.25">
      <c r="A33" s="2">
        <v>28</v>
      </c>
      <c r="B33" s="2">
        <f>Annual_Report!B29</f>
        <v>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4">
        <f t="shared" si="1"/>
        <v>0</v>
      </c>
      <c r="AI33" s="4">
        <f t="shared" si="2"/>
        <v>0</v>
      </c>
      <c r="AJ33" s="4">
        <f t="shared" si="3"/>
        <v>0</v>
      </c>
      <c r="AK33" s="4">
        <f t="shared" si="4"/>
        <v>0</v>
      </c>
    </row>
    <row r="34" spans="1:37" x14ac:dyDescent="0.25">
      <c r="A34" s="2">
        <v>29</v>
      </c>
      <c r="B34" s="2">
        <f>Annual_Report!B30</f>
        <v>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4">
        <f t="shared" si="1"/>
        <v>0</v>
      </c>
      <c r="AI34" s="4">
        <f t="shared" si="2"/>
        <v>0</v>
      </c>
      <c r="AJ34" s="4">
        <f t="shared" si="3"/>
        <v>0</v>
      </c>
      <c r="AK34" s="4">
        <f t="shared" si="4"/>
        <v>0</v>
      </c>
    </row>
    <row r="35" spans="1:37" x14ac:dyDescent="0.25">
      <c r="A35" s="2">
        <v>30</v>
      </c>
      <c r="B35" s="2">
        <f>Annual_Report!B31</f>
        <v>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4">
        <f t="shared" si="1"/>
        <v>0</v>
      </c>
      <c r="AI35" s="4">
        <f t="shared" si="2"/>
        <v>0</v>
      </c>
      <c r="AJ35" s="4">
        <f t="shared" si="3"/>
        <v>0</v>
      </c>
      <c r="AK35" s="4">
        <f t="shared" si="4"/>
        <v>0</v>
      </c>
    </row>
    <row r="36" spans="1:37" x14ac:dyDescent="0.25">
      <c r="A36" s="2">
        <v>31</v>
      </c>
      <c r="B36" s="2">
        <f>Annual_Report!B32</f>
        <v>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4">
        <f t="shared" si="1"/>
        <v>0</v>
      </c>
      <c r="AI36" s="4">
        <f t="shared" si="2"/>
        <v>0</v>
      </c>
      <c r="AJ36" s="4">
        <f t="shared" si="3"/>
        <v>0</v>
      </c>
      <c r="AK36" s="4">
        <f t="shared" si="4"/>
        <v>0</v>
      </c>
    </row>
    <row r="37" spans="1:37" x14ac:dyDescent="0.25">
      <c r="A37" s="2">
        <v>32</v>
      </c>
      <c r="B37" s="2">
        <f>Annual_Report!B33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4">
        <f t="shared" si="1"/>
        <v>0</v>
      </c>
      <c r="AI37" s="4">
        <f t="shared" si="2"/>
        <v>0</v>
      </c>
      <c r="AJ37" s="4">
        <f t="shared" si="3"/>
        <v>0</v>
      </c>
      <c r="AK37" s="4">
        <f t="shared" si="4"/>
        <v>0</v>
      </c>
    </row>
    <row r="38" spans="1:37" x14ac:dyDescent="0.25">
      <c r="A38" s="2">
        <v>33</v>
      </c>
      <c r="B38" s="2">
        <f>Annual_Report!B34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4">
        <f t="shared" ref="AH38:AH69" si="5">COUNTIF($C38:$AG38, "ح")</f>
        <v>0</v>
      </c>
      <c r="AI38" s="4">
        <f t="shared" ref="AI38:AI69" si="6">COUNTIF($C38:$AG38, "غ")</f>
        <v>0</v>
      </c>
      <c r="AJ38" s="4">
        <f t="shared" ref="AJ38:AJ69" si="7">COUNTIF($C38:$AG38, "ج")</f>
        <v>0</v>
      </c>
      <c r="AK38" s="4">
        <f t="shared" ref="AK38:AK69" si="8">COUNTIF($C38:$AG38, "م")</f>
        <v>0</v>
      </c>
    </row>
    <row r="39" spans="1:37" x14ac:dyDescent="0.25">
      <c r="A39" s="2">
        <v>34</v>
      </c>
      <c r="B39" s="2">
        <f>Annual_Report!B35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4">
        <f t="shared" si="5"/>
        <v>0</v>
      </c>
      <c r="AI39" s="4">
        <f t="shared" si="6"/>
        <v>0</v>
      </c>
      <c r="AJ39" s="4">
        <f t="shared" si="7"/>
        <v>0</v>
      </c>
      <c r="AK39" s="4">
        <f t="shared" si="8"/>
        <v>0</v>
      </c>
    </row>
    <row r="40" spans="1:37" x14ac:dyDescent="0.25">
      <c r="A40" s="2">
        <v>35</v>
      </c>
      <c r="B40" s="2">
        <f>Annual_Report!B36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4">
        <f t="shared" si="5"/>
        <v>0</v>
      </c>
      <c r="AI40" s="4">
        <f t="shared" si="6"/>
        <v>0</v>
      </c>
      <c r="AJ40" s="4">
        <f t="shared" si="7"/>
        <v>0</v>
      </c>
      <c r="AK40" s="4">
        <f t="shared" si="8"/>
        <v>0</v>
      </c>
    </row>
    <row r="41" spans="1:37" x14ac:dyDescent="0.25">
      <c r="A41" s="2">
        <v>36</v>
      </c>
      <c r="B41" s="2">
        <f>Annual_Report!B37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4">
        <f t="shared" si="5"/>
        <v>0</v>
      </c>
      <c r="AI41" s="4">
        <f t="shared" si="6"/>
        <v>0</v>
      </c>
      <c r="AJ41" s="4">
        <f t="shared" si="7"/>
        <v>0</v>
      </c>
      <c r="AK41" s="4">
        <f t="shared" si="8"/>
        <v>0</v>
      </c>
    </row>
    <row r="42" spans="1:37" x14ac:dyDescent="0.25">
      <c r="A42" s="2">
        <v>37</v>
      </c>
      <c r="B42" s="2">
        <f>Annual_Report!B38</f>
        <v>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4">
        <f t="shared" si="5"/>
        <v>0</v>
      </c>
      <c r="AI42" s="4">
        <f t="shared" si="6"/>
        <v>0</v>
      </c>
      <c r="AJ42" s="4">
        <f t="shared" si="7"/>
        <v>0</v>
      </c>
      <c r="AK42" s="4">
        <f t="shared" si="8"/>
        <v>0</v>
      </c>
    </row>
    <row r="43" spans="1:37" x14ac:dyDescent="0.25">
      <c r="A43" s="2">
        <v>38</v>
      </c>
      <c r="B43" s="2">
        <f>Annual_Report!B39</f>
        <v>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4">
        <f t="shared" si="5"/>
        <v>0</v>
      </c>
      <c r="AI43" s="4">
        <f t="shared" si="6"/>
        <v>0</v>
      </c>
      <c r="AJ43" s="4">
        <f t="shared" si="7"/>
        <v>0</v>
      </c>
      <c r="AK43" s="4">
        <f t="shared" si="8"/>
        <v>0</v>
      </c>
    </row>
    <row r="44" spans="1:37" x14ac:dyDescent="0.25">
      <c r="A44" s="2">
        <v>39</v>
      </c>
      <c r="B44" s="2">
        <f>Annual_Report!B40</f>
        <v>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4">
        <f t="shared" si="5"/>
        <v>0</v>
      </c>
      <c r="AI44" s="4">
        <f t="shared" si="6"/>
        <v>0</v>
      </c>
      <c r="AJ44" s="4">
        <f t="shared" si="7"/>
        <v>0</v>
      </c>
      <c r="AK44" s="4">
        <f t="shared" si="8"/>
        <v>0</v>
      </c>
    </row>
    <row r="45" spans="1:37" x14ac:dyDescent="0.25">
      <c r="A45" s="2">
        <v>40</v>
      </c>
      <c r="B45" s="2">
        <f>Annual_Report!B41</f>
        <v>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4">
        <f t="shared" si="5"/>
        <v>0</v>
      </c>
      <c r="AI45" s="4">
        <f t="shared" si="6"/>
        <v>0</v>
      </c>
      <c r="AJ45" s="4">
        <f t="shared" si="7"/>
        <v>0</v>
      </c>
      <c r="AK45" s="4">
        <f t="shared" si="8"/>
        <v>0</v>
      </c>
    </row>
    <row r="46" spans="1:37" x14ac:dyDescent="0.25">
      <c r="A46" s="2">
        <v>41</v>
      </c>
      <c r="B46" s="2">
        <f>Annual_Report!B42</f>
        <v>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4">
        <f t="shared" si="5"/>
        <v>0</v>
      </c>
      <c r="AI46" s="4">
        <f t="shared" si="6"/>
        <v>0</v>
      </c>
      <c r="AJ46" s="4">
        <f t="shared" si="7"/>
        <v>0</v>
      </c>
      <c r="AK46" s="4">
        <f t="shared" si="8"/>
        <v>0</v>
      </c>
    </row>
    <row r="47" spans="1:37" x14ac:dyDescent="0.25">
      <c r="A47" s="2">
        <v>42</v>
      </c>
      <c r="B47" s="2">
        <f>Annual_Report!B43</f>
        <v>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4">
        <f t="shared" si="5"/>
        <v>0</v>
      </c>
      <c r="AI47" s="4">
        <f t="shared" si="6"/>
        <v>0</v>
      </c>
      <c r="AJ47" s="4">
        <f t="shared" si="7"/>
        <v>0</v>
      </c>
      <c r="AK47" s="4">
        <f t="shared" si="8"/>
        <v>0</v>
      </c>
    </row>
    <row r="48" spans="1:37" x14ac:dyDescent="0.25">
      <c r="A48" s="2">
        <v>43</v>
      </c>
      <c r="B48" s="2">
        <f>Annual_Report!B44</f>
        <v>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4">
        <f t="shared" si="5"/>
        <v>0</v>
      </c>
      <c r="AI48" s="4">
        <f t="shared" si="6"/>
        <v>0</v>
      </c>
      <c r="AJ48" s="4">
        <f t="shared" si="7"/>
        <v>0</v>
      </c>
      <c r="AK48" s="4">
        <f t="shared" si="8"/>
        <v>0</v>
      </c>
    </row>
    <row r="49" spans="1:37" x14ac:dyDescent="0.25">
      <c r="A49" s="2">
        <v>44</v>
      </c>
      <c r="B49" s="2">
        <f>Annual_Report!B45</f>
        <v>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4">
        <f t="shared" si="5"/>
        <v>0</v>
      </c>
      <c r="AI49" s="4">
        <f t="shared" si="6"/>
        <v>0</v>
      </c>
      <c r="AJ49" s="4">
        <f t="shared" si="7"/>
        <v>0</v>
      </c>
      <c r="AK49" s="4">
        <f t="shared" si="8"/>
        <v>0</v>
      </c>
    </row>
    <row r="50" spans="1:37" x14ac:dyDescent="0.25">
      <c r="A50" s="2">
        <v>45</v>
      </c>
      <c r="B50" s="2">
        <f>Annual_Report!B46</f>
        <v>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4">
        <f t="shared" si="5"/>
        <v>0</v>
      </c>
      <c r="AI50" s="4">
        <f t="shared" si="6"/>
        <v>0</v>
      </c>
      <c r="AJ50" s="4">
        <f t="shared" si="7"/>
        <v>0</v>
      </c>
      <c r="AK50" s="4">
        <f t="shared" si="8"/>
        <v>0</v>
      </c>
    </row>
    <row r="51" spans="1:37" x14ac:dyDescent="0.25">
      <c r="A51" s="2">
        <v>46</v>
      </c>
      <c r="B51" s="2">
        <f>Annual_Report!B47</f>
        <v>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4">
        <f t="shared" si="5"/>
        <v>0</v>
      </c>
      <c r="AI51" s="4">
        <f t="shared" si="6"/>
        <v>0</v>
      </c>
      <c r="AJ51" s="4">
        <f t="shared" si="7"/>
        <v>0</v>
      </c>
      <c r="AK51" s="4">
        <f t="shared" si="8"/>
        <v>0</v>
      </c>
    </row>
    <row r="52" spans="1:37" x14ac:dyDescent="0.25">
      <c r="A52" s="2">
        <v>47</v>
      </c>
      <c r="B52" s="2">
        <f>Annual_Report!B48</f>
        <v>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4">
        <f t="shared" si="5"/>
        <v>0</v>
      </c>
      <c r="AI52" s="4">
        <f t="shared" si="6"/>
        <v>0</v>
      </c>
      <c r="AJ52" s="4">
        <f t="shared" si="7"/>
        <v>0</v>
      </c>
      <c r="AK52" s="4">
        <f t="shared" si="8"/>
        <v>0</v>
      </c>
    </row>
    <row r="53" spans="1:37" x14ac:dyDescent="0.25">
      <c r="A53" s="2">
        <v>48</v>
      </c>
      <c r="B53" s="2">
        <f>Annual_Report!B49</f>
        <v>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4">
        <f t="shared" si="5"/>
        <v>0</v>
      </c>
      <c r="AI53" s="4">
        <f t="shared" si="6"/>
        <v>0</v>
      </c>
      <c r="AJ53" s="4">
        <f t="shared" si="7"/>
        <v>0</v>
      </c>
      <c r="AK53" s="4">
        <f t="shared" si="8"/>
        <v>0</v>
      </c>
    </row>
    <row r="54" spans="1:37" x14ac:dyDescent="0.25">
      <c r="A54" s="2">
        <v>49</v>
      </c>
      <c r="B54" s="2">
        <f>Annual_Report!B50</f>
        <v>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4">
        <f t="shared" si="5"/>
        <v>0</v>
      </c>
      <c r="AI54" s="4">
        <f t="shared" si="6"/>
        <v>0</v>
      </c>
      <c r="AJ54" s="4">
        <f t="shared" si="7"/>
        <v>0</v>
      </c>
      <c r="AK54" s="4">
        <f t="shared" si="8"/>
        <v>0</v>
      </c>
    </row>
    <row r="55" spans="1:37" x14ac:dyDescent="0.25">
      <c r="A55" s="2">
        <v>50</v>
      </c>
      <c r="B55" s="2">
        <f>Annual_Report!B51</f>
        <v>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4">
        <f t="shared" si="5"/>
        <v>0</v>
      </c>
      <c r="AI55" s="4">
        <f t="shared" si="6"/>
        <v>0</v>
      </c>
      <c r="AJ55" s="4">
        <f t="shared" si="7"/>
        <v>0</v>
      </c>
      <c r="AK55" s="4">
        <f t="shared" si="8"/>
        <v>0</v>
      </c>
    </row>
    <row r="56" spans="1:37" x14ac:dyDescent="0.25">
      <c r="A56" s="2">
        <v>51</v>
      </c>
      <c r="B56" s="2">
        <f>Annual_Report!B52</f>
        <v>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4">
        <f t="shared" si="5"/>
        <v>0</v>
      </c>
      <c r="AI56" s="4">
        <f t="shared" si="6"/>
        <v>0</v>
      </c>
      <c r="AJ56" s="4">
        <f t="shared" si="7"/>
        <v>0</v>
      </c>
      <c r="AK56" s="4">
        <f t="shared" si="8"/>
        <v>0</v>
      </c>
    </row>
    <row r="57" spans="1:37" x14ac:dyDescent="0.25">
      <c r="A57" s="2">
        <v>52</v>
      </c>
      <c r="B57" s="2">
        <f>Annual_Report!B53</f>
        <v>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4">
        <f t="shared" si="5"/>
        <v>0</v>
      </c>
      <c r="AI57" s="4">
        <f t="shared" si="6"/>
        <v>0</v>
      </c>
      <c r="AJ57" s="4">
        <f t="shared" si="7"/>
        <v>0</v>
      </c>
      <c r="AK57" s="4">
        <f t="shared" si="8"/>
        <v>0</v>
      </c>
    </row>
    <row r="58" spans="1:37" x14ac:dyDescent="0.25">
      <c r="A58" s="2">
        <v>53</v>
      </c>
      <c r="B58" s="2">
        <f>Annual_Report!B54</f>
        <v>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4">
        <f t="shared" si="5"/>
        <v>0</v>
      </c>
      <c r="AI58" s="4">
        <f t="shared" si="6"/>
        <v>0</v>
      </c>
      <c r="AJ58" s="4">
        <f t="shared" si="7"/>
        <v>0</v>
      </c>
      <c r="AK58" s="4">
        <f t="shared" si="8"/>
        <v>0</v>
      </c>
    </row>
    <row r="59" spans="1:37" x14ac:dyDescent="0.25">
      <c r="A59" s="2">
        <v>54</v>
      </c>
      <c r="B59" s="2">
        <f>Annual_Report!B55</f>
        <v>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4">
        <f t="shared" si="5"/>
        <v>0</v>
      </c>
      <c r="AI59" s="4">
        <f t="shared" si="6"/>
        <v>0</v>
      </c>
      <c r="AJ59" s="4">
        <f t="shared" si="7"/>
        <v>0</v>
      </c>
      <c r="AK59" s="4">
        <f t="shared" si="8"/>
        <v>0</v>
      </c>
    </row>
    <row r="60" spans="1:37" x14ac:dyDescent="0.25">
      <c r="A60" s="2">
        <v>55</v>
      </c>
      <c r="B60" s="2">
        <f>Annual_Report!B56</f>
        <v>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4">
        <f t="shared" si="5"/>
        <v>0</v>
      </c>
      <c r="AI60" s="4">
        <f t="shared" si="6"/>
        <v>0</v>
      </c>
      <c r="AJ60" s="4">
        <f t="shared" si="7"/>
        <v>0</v>
      </c>
      <c r="AK60" s="4">
        <f t="shared" si="8"/>
        <v>0</v>
      </c>
    </row>
    <row r="61" spans="1:37" x14ac:dyDescent="0.25">
      <c r="A61" s="2">
        <v>56</v>
      </c>
      <c r="B61" s="2">
        <f>Annual_Report!B57</f>
        <v>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4">
        <f t="shared" si="5"/>
        <v>0</v>
      </c>
      <c r="AI61" s="4">
        <f t="shared" si="6"/>
        <v>0</v>
      </c>
      <c r="AJ61" s="4">
        <f t="shared" si="7"/>
        <v>0</v>
      </c>
      <c r="AK61" s="4">
        <f t="shared" si="8"/>
        <v>0</v>
      </c>
    </row>
    <row r="62" spans="1:37" x14ac:dyDescent="0.25">
      <c r="A62" s="2">
        <v>57</v>
      </c>
      <c r="B62" s="2">
        <f>Annual_Report!B58</f>
        <v>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4">
        <f t="shared" si="5"/>
        <v>0</v>
      </c>
      <c r="AI62" s="4">
        <f t="shared" si="6"/>
        <v>0</v>
      </c>
      <c r="AJ62" s="4">
        <f t="shared" si="7"/>
        <v>0</v>
      </c>
      <c r="AK62" s="4">
        <f t="shared" si="8"/>
        <v>0</v>
      </c>
    </row>
    <row r="63" spans="1:37" x14ac:dyDescent="0.25">
      <c r="A63" s="2">
        <v>58</v>
      </c>
      <c r="B63" s="2">
        <f>Annual_Report!B59</f>
        <v>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4">
        <f t="shared" si="5"/>
        <v>0</v>
      </c>
      <c r="AI63" s="4">
        <f t="shared" si="6"/>
        <v>0</v>
      </c>
      <c r="AJ63" s="4">
        <f t="shared" si="7"/>
        <v>0</v>
      </c>
      <c r="AK63" s="4">
        <f t="shared" si="8"/>
        <v>0</v>
      </c>
    </row>
    <row r="64" spans="1:37" x14ac:dyDescent="0.25">
      <c r="A64" s="2">
        <v>59</v>
      </c>
      <c r="B64" s="2">
        <f>Annual_Report!B60</f>
        <v>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4">
        <f t="shared" si="5"/>
        <v>0</v>
      </c>
      <c r="AI64" s="4">
        <f t="shared" si="6"/>
        <v>0</v>
      </c>
      <c r="AJ64" s="4">
        <f t="shared" si="7"/>
        <v>0</v>
      </c>
      <c r="AK64" s="4">
        <f t="shared" si="8"/>
        <v>0</v>
      </c>
    </row>
    <row r="65" spans="1:37" x14ac:dyDescent="0.25">
      <c r="A65" s="2">
        <v>60</v>
      </c>
      <c r="B65" s="2">
        <f>Annual_Report!B61</f>
        <v>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4">
        <f t="shared" si="5"/>
        <v>0</v>
      </c>
      <c r="AI65" s="4">
        <f t="shared" si="6"/>
        <v>0</v>
      </c>
      <c r="AJ65" s="4">
        <f t="shared" si="7"/>
        <v>0</v>
      </c>
      <c r="AK65" s="4">
        <f t="shared" si="8"/>
        <v>0</v>
      </c>
    </row>
    <row r="66" spans="1:37" x14ac:dyDescent="0.25">
      <c r="A66" s="2">
        <v>61</v>
      </c>
      <c r="B66" s="2">
        <f>Annual_Report!B62</f>
        <v>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4">
        <f t="shared" si="5"/>
        <v>0</v>
      </c>
      <c r="AI66" s="4">
        <f t="shared" si="6"/>
        <v>0</v>
      </c>
      <c r="AJ66" s="4">
        <f t="shared" si="7"/>
        <v>0</v>
      </c>
      <c r="AK66" s="4">
        <f t="shared" si="8"/>
        <v>0</v>
      </c>
    </row>
    <row r="67" spans="1:37" x14ac:dyDescent="0.25">
      <c r="A67" s="2">
        <v>62</v>
      </c>
      <c r="B67" s="2">
        <f>Annual_Report!B63</f>
        <v>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4">
        <f t="shared" si="5"/>
        <v>0</v>
      </c>
      <c r="AI67" s="4">
        <f t="shared" si="6"/>
        <v>0</v>
      </c>
      <c r="AJ67" s="4">
        <f t="shared" si="7"/>
        <v>0</v>
      </c>
      <c r="AK67" s="4">
        <f t="shared" si="8"/>
        <v>0</v>
      </c>
    </row>
    <row r="68" spans="1:37" x14ac:dyDescent="0.25">
      <c r="A68" s="2">
        <v>63</v>
      </c>
      <c r="B68" s="2">
        <f>Annual_Report!B64</f>
        <v>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4">
        <f t="shared" si="5"/>
        <v>0</v>
      </c>
      <c r="AI68" s="4">
        <f t="shared" si="6"/>
        <v>0</v>
      </c>
      <c r="AJ68" s="4">
        <f t="shared" si="7"/>
        <v>0</v>
      </c>
      <c r="AK68" s="4">
        <f t="shared" si="8"/>
        <v>0</v>
      </c>
    </row>
    <row r="69" spans="1:37" x14ac:dyDescent="0.25">
      <c r="A69" s="2">
        <v>64</v>
      </c>
      <c r="B69" s="2">
        <f>Annual_Report!B65</f>
        <v>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4">
        <f t="shared" si="5"/>
        <v>0</v>
      </c>
      <c r="AI69" s="4">
        <f t="shared" si="6"/>
        <v>0</v>
      </c>
      <c r="AJ69" s="4">
        <f t="shared" si="7"/>
        <v>0</v>
      </c>
      <c r="AK69" s="4">
        <f t="shared" si="8"/>
        <v>0</v>
      </c>
    </row>
    <row r="70" spans="1:37" x14ac:dyDescent="0.25">
      <c r="A70" s="2">
        <v>65</v>
      </c>
      <c r="B70" s="2">
        <f>Annual_Report!B66</f>
        <v>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4">
        <f t="shared" ref="AH70:AH105" si="9">COUNTIF($C70:$AG70, "ح")</f>
        <v>0</v>
      </c>
      <c r="AI70" s="4">
        <f t="shared" ref="AI70:AI105" si="10">COUNTIF($C70:$AG70, "غ")</f>
        <v>0</v>
      </c>
      <c r="AJ70" s="4">
        <f t="shared" ref="AJ70:AJ105" si="11">COUNTIF($C70:$AG70, "ج")</f>
        <v>0</v>
      </c>
      <c r="AK70" s="4">
        <f t="shared" ref="AK70:AK105" si="12">COUNTIF($C70:$AG70, "م")</f>
        <v>0</v>
      </c>
    </row>
    <row r="71" spans="1:37" x14ac:dyDescent="0.25">
      <c r="A71" s="2">
        <v>66</v>
      </c>
      <c r="B71" s="2">
        <f>Annual_Report!B67</f>
        <v>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4">
        <f t="shared" si="9"/>
        <v>0</v>
      </c>
      <c r="AI71" s="4">
        <f t="shared" si="10"/>
        <v>0</v>
      </c>
      <c r="AJ71" s="4">
        <f t="shared" si="11"/>
        <v>0</v>
      </c>
      <c r="AK71" s="4">
        <f t="shared" si="12"/>
        <v>0</v>
      </c>
    </row>
    <row r="72" spans="1:37" x14ac:dyDescent="0.25">
      <c r="A72" s="2">
        <v>67</v>
      </c>
      <c r="B72" s="2">
        <f>Annual_Report!B68</f>
        <v>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4">
        <f t="shared" si="9"/>
        <v>0</v>
      </c>
      <c r="AI72" s="4">
        <f t="shared" si="10"/>
        <v>0</v>
      </c>
      <c r="AJ72" s="4">
        <f t="shared" si="11"/>
        <v>0</v>
      </c>
      <c r="AK72" s="4">
        <f t="shared" si="12"/>
        <v>0</v>
      </c>
    </row>
    <row r="73" spans="1:37" x14ac:dyDescent="0.25">
      <c r="A73" s="2">
        <v>68</v>
      </c>
      <c r="B73" s="2">
        <f>Annual_Report!B69</f>
        <v>0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4">
        <f t="shared" si="9"/>
        <v>0</v>
      </c>
      <c r="AI73" s="4">
        <f t="shared" si="10"/>
        <v>0</v>
      </c>
      <c r="AJ73" s="4">
        <f t="shared" si="11"/>
        <v>0</v>
      </c>
      <c r="AK73" s="4">
        <f t="shared" si="12"/>
        <v>0</v>
      </c>
    </row>
    <row r="74" spans="1:37" x14ac:dyDescent="0.25">
      <c r="A74" s="2">
        <v>69</v>
      </c>
      <c r="B74" s="2">
        <f>Annual_Report!B70</f>
        <v>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4">
        <f t="shared" si="9"/>
        <v>0</v>
      </c>
      <c r="AI74" s="4">
        <f t="shared" si="10"/>
        <v>0</v>
      </c>
      <c r="AJ74" s="4">
        <f t="shared" si="11"/>
        <v>0</v>
      </c>
      <c r="AK74" s="4">
        <f t="shared" si="12"/>
        <v>0</v>
      </c>
    </row>
    <row r="75" spans="1:37" x14ac:dyDescent="0.25">
      <c r="A75" s="2">
        <v>70</v>
      </c>
      <c r="B75" s="2">
        <f>Annual_Report!B71</f>
        <v>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4">
        <f t="shared" si="9"/>
        <v>0</v>
      </c>
      <c r="AI75" s="4">
        <f t="shared" si="10"/>
        <v>0</v>
      </c>
      <c r="AJ75" s="4">
        <f t="shared" si="11"/>
        <v>0</v>
      </c>
      <c r="AK75" s="4">
        <f t="shared" si="12"/>
        <v>0</v>
      </c>
    </row>
    <row r="76" spans="1:37" x14ac:dyDescent="0.25">
      <c r="A76" s="2">
        <v>71</v>
      </c>
      <c r="B76" s="2">
        <f>Annual_Report!B72</f>
        <v>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4">
        <f t="shared" si="9"/>
        <v>0</v>
      </c>
      <c r="AI76" s="4">
        <f t="shared" si="10"/>
        <v>0</v>
      </c>
      <c r="AJ76" s="4">
        <f t="shared" si="11"/>
        <v>0</v>
      </c>
      <c r="AK76" s="4">
        <f t="shared" si="12"/>
        <v>0</v>
      </c>
    </row>
    <row r="77" spans="1:37" x14ac:dyDescent="0.25">
      <c r="A77" s="2">
        <v>72</v>
      </c>
      <c r="B77" s="2">
        <f>Annual_Report!B73</f>
        <v>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4">
        <f t="shared" si="9"/>
        <v>0</v>
      </c>
      <c r="AI77" s="4">
        <f t="shared" si="10"/>
        <v>0</v>
      </c>
      <c r="AJ77" s="4">
        <f t="shared" si="11"/>
        <v>0</v>
      </c>
      <c r="AK77" s="4">
        <f t="shared" si="12"/>
        <v>0</v>
      </c>
    </row>
    <row r="78" spans="1:37" x14ac:dyDescent="0.25">
      <c r="A78" s="2">
        <v>73</v>
      </c>
      <c r="B78" s="2">
        <f>Annual_Report!B74</f>
        <v>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4">
        <f t="shared" si="9"/>
        <v>0</v>
      </c>
      <c r="AI78" s="4">
        <f t="shared" si="10"/>
        <v>0</v>
      </c>
      <c r="AJ78" s="4">
        <f t="shared" si="11"/>
        <v>0</v>
      </c>
      <c r="AK78" s="4">
        <f t="shared" si="12"/>
        <v>0</v>
      </c>
    </row>
    <row r="79" spans="1:37" x14ac:dyDescent="0.25">
      <c r="A79" s="2">
        <v>74</v>
      </c>
      <c r="B79" s="2">
        <f>Annual_Report!B75</f>
        <v>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4">
        <f t="shared" si="9"/>
        <v>0</v>
      </c>
      <c r="AI79" s="4">
        <f t="shared" si="10"/>
        <v>0</v>
      </c>
      <c r="AJ79" s="4">
        <f t="shared" si="11"/>
        <v>0</v>
      </c>
      <c r="AK79" s="4">
        <f t="shared" si="12"/>
        <v>0</v>
      </c>
    </row>
    <row r="80" spans="1:37" x14ac:dyDescent="0.25">
      <c r="A80" s="2">
        <v>75</v>
      </c>
      <c r="B80" s="2">
        <f>Annual_Report!B76</f>
        <v>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4">
        <f t="shared" si="9"/>
        <v>0</v>
      </c>
      <c r="AI80" s="4">
        <f t="shared" si="10"/>
        <v>0</v>
      </c>
      <c r="AJ80" s="4">
        <f t="shared" si="11"/>
        <v>0</v>
      </c>
      <c r="AK80" s="4">
        <f t="shared" si="12"/>
        <v>0</v>
      </c>
    </row>
    <row r="81" spans="1:37" x14ac:dyDescent="0.25">
      <c r="A81" s="2">
        <v>76</v>
      </c>
      <c r="B81" s="2">
        <f>Annual_Report!B77</f>
        <v>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4">
        <f t="shared" si="9"/>
        <v>0</v>
      </c>
      <c r="AI81" s="4">
        <f t="shared" si="10"/>
        <v>0</v>
      </c>
      <c r="AJ81" s="4">
        <f t="shared" si="11"/>
        <v>0</v>
      </c>
      <c r="AK81" s="4">
        <f t="shared" si="12"/>
        <v>0</v>
      </c>
    </row>
    <row r="82" spans="1:37" x14ac:dyDescent="0.25">
      <c r="A82" s="2">
        <v>77</v>
      </c>
      <c r="B82" s="2">
        <f>Annual_Report!B78</f>
        <v>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4">
        <f t="shared" si="9"/>
        <v>0</v>
      </c>
      <c r="AI82" s="4">
        <f t="shared" si="10"/>
        <v>0</v>
      </c>
      <c r="AJ82" s="4">
        <f t="shared" si="11"/>
        <v>0</v>
      </c>
      <c r="AK82" s="4">
        <f t="shared" si="12"/>
        <v>0</v>
      </c>
    </row>
    <row r="83" spans="1:37" x14ac:dyDescent="0.25">
      <c r="A83" s="2">
        <v>78</v>
      </c>
      <c r="B83" s="2">
        <f>Annual_Report!B79</f>
        <v>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4">
        <f t="shared" si="9"/>
        <v>0</v>
      </c>
      <c r="AI83" s="4">
        <f t="shared" si="10"/>
        <v>0</v>
      </c>
      <c r="AJ83" s="4">
        <f t="shared" si="11"/>
        <v>0</v>
      </c>
      <c r="AK83" s="4">
        <f t="shared" si="12"/>
        <v>0</v>
      </c>
    </row>
    <row r="84" spans="1:37" x14ac:dyDescent="0.25">
      <c r="A84" s="2">
        <v>79</v>
      </c>
      <c r="B84" s="2">
        <f>Annual_Report!B80</f>
        <v>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4">
        <f t="shared" si="9"/>
        <v>0</v>
      </c>
      <c r="AI84" s="4">
        <f t="shared" si="10"/>
        <v>0</v>
      </c>
      <c r="AJ84" s="4">
        <f t="shared" si="11"/>
        <v>0</v>
      </c>
      <c r="AK84" s="4">
        <f t="shared" si="12"/>
        <v>0</v>
      </c>
    </row>
    <row r="85" spans="1:37" x14ac:dyDescent="0.25">
      <c r="A85" s="2">
        <v>80</v>
      </c>
      <c r="B85" s="2">
        <f>Annual_Report!B81</f>
        <v>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4">
        <f t="shared" si="9"/>
        <v>0</v>
      </c>
      <c r="AI85" s="4">
        <f t="shared" si="10"/>
        <v>0</v>
      </c>
      <c r="AJ85" s="4">
        <f t="shared" si="11"/>
        <v>0</v>
      </c>
      <c r="AK85" s="4">
        <f t="shared" si="12"/>
        <v>0</v>
      </c>
    </row>
    <row r="86" spans="1:37" x14ac:dyDescent="0.25">
      <c r="A86" s="2">
        <v>81</v>
      </c>
      <c r="B86" s="2">
        <f>Annual_Report!B82</f>
        <v>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4">
        <f t="shared" si="9"/>
        <v>0</v>
      </c>
      <c r="AI86" s="4">
        <f t="shared" si="10"/>
        <v>0</v>
      </c>
      <c r="AJ86" s="4">
        <f t="shared" si="11"/>
        <v>0</v>
      </c>
      <c r="AK86" s="4">
        <f t="shared" si="12"/>
        <v>0</v>
      </c>
    </row>
    <row r="87" spans="1:37" x14ac:dyDescent="0.25">
      <c r="A87" s="2">
        <v>82</v>
      </c>
      <c r="B87" s="2">
        <f>Annual_Report!B83</f>
        <v>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4">
        <f t="shared" si="9"/>
        <v>0</v>
      </c>
      <c r="AI87" s="4">
        <f t="shared" si="10"/>
        <v>0</v>
      </c>
      <c r="AJ87" s="4">
        <f t="shared" si="11"/>
        <v>0</v>
      </c>
      <c r="AK87" s="4">
        <f t="shared" si="12"/>
        <v>0</v>
      </c>
    </row>
    <row r="88" spans="1:37" x14ac:dyDescent="0.25">
      <c r="A88" s="2">
        <v>83</v>
      </c>
      <c r="B88" s="2">
        <f>Annual_Report!B84</f>
        <v>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4">
        <f t="shared" si="9"/>
        <v>0</v>
      </c>
      <c r="AI88" s="4">
        <f t="shared" si="10"/>
        <v>0</v>
      </c>
      <c r="AJ88" s="4">
        <f t="shared" si="11"/>
        <v>0</v>
      </c>
      <c r="AK88" s="4">
        <f t="shared" si="12"/>
        <v>0</v>
      </c>
    </row>
    <row r="89" spans="1:37" x14ac:dyDescent="0.25">
      <c r="A89" s="2">
        <v>84</v>
      </c>
      <c r="B89" s="2">
        <f>Annual_Report!B85</f>
        <v>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4">
        <f t="shared" si="9"/>
        <v>0</v>
      </c>
      <c r="AI89" s="4">
        <f t="shared" si="10"/>
        <v>0</v>
      </c>
      <c r="AJ89" s="4">
        <f t="shared" si="11"/>
        <v>0</v>
      </c>
      <c r="AK89" s="4">
        <f t="shared" si="12"/>
        <v>0</v>
      </c>
    </row>
    <row r="90" spans="1:37" x14ac:dyDescent="0.25">
      <c r="A90" s="2">
        <v>85</v>
      </c>
      <c r="B90" s="2">
        <f>Annual_Report!B86</f>
        <v>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4">
        <f t="shared" si="9"/>
        <v>0</v>
      </c>
      <c r="AI90" s="4">
        <f t="shared" si="10"/>
        <v>0</v>
      </c>
      <c r="AJ90" s="4">
        <f t="shared" si="11"/>
        <v>0</v>
      </c>
      <c r="AK90" s="4">
        <f t="shared" si="12"/>
        <v>0</v>
      </c>
    </row>
    <row r="91" spans="1:37" x14ac:dyDescent="0.25">
      <c r="A91" s="2">
        <v>86</v>
      </c>
      <c r="B91" s="2">
        <f>Annual_Report!B87</f>
        <v>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4">
        <f t="shared" si="9"/>
        <v>0</v>
      </c>
      <c r="AI91" s="4">
        <f t="shared" si="10"/>
        <v>0</v>
      </c>
      <c r="AJ91" s="4">
        <f t="shared" si="11"/>
        <v>0</v>
      </c>
      <c r="AK91" s="4">
        <f t="shared" si="12"/>
        <v>0</v>
      </c>
    </row>
    <row r="92" spans="1:37" x14ac:dyDescent="0.25">
      <c r="A92" s="2">
        <v>87</v>
      </c>
      <c r="B92" s="2">
        <f>Annual_Report!B88</f>
        <v>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4">
        <f t="shared" si="9"/>
        <v>0</v>
      </c>
      <c r="AI92" s="4">
        <f t="shared" si="10"/>
        <v>0</v>
      </c>
      <c r="AJ92" s="4">
        <f t="shared" si="11"/>
        <v>0</v>
      </c>
      <c r="AK92" s="4">
        <f t="shared" si="12"/>
        <v>0</v>
      </c>
    </row>
    <row r="93" spans="1:37" x14ac:dyDescent="0.25">
      <c r="A93" s="2">
        <v>88</v>
      </c>
      <c r="B93" s="2">
        <f>Annual_Report!B89</f>
        <v>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4">
        <f t="shared" si="9"/>
        <v>0</v>
      </c>
      <c r="AI93" s="4">
        <f t="shared" si="10"/>
        <v>0</v>
      </c>
      <c r="AJ93" s="4">
        <f t="shared" si="11"/>
        <v>0</v>
      </c>
      <c r="AK93" s="4">
        <f t="shared" si="12"/>
        <v>0</v>
      </c>
    </row>
    <row r="94" spans="1:37" x14ac:dyDescent="0.25">
      <c r="A94" s="2">
        <v>89</v>
      </c>
      <c r="B94" s="2">
        <f>Annual_Report!B90</f>
        <v>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4">
        <f t="shared" si="9"/>
        <v>0</v>
      </c>
      <c r="AI94" s="4">
        <f t="shared" si="10"/>
        <v>0</v>
      </c>
      <c r="AJ94" s="4">
        <f t="shared" si="11"/>
        <v>0</v>
      </c>
      <c r="AK94" s="4">
        <f t="shared" si="12"/>
        <v>0</v>
      </c>
    </row>
    <row r="95" spans="1:37" x14ac:dyDescent="0.25">
      <c r="A95" s="2">
        <v>90</v>
      </c>
      <c r="B95" s="2">
        <f>Annual_Report!B91</f>
        <v>0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4">
        <f t="shared" si="9"/>
        <v>0</v>
      </c>
      <c r="AI95" s="4">
        <f t="shared" si="10"/>
        <v>0</v>
      </c>
      <c r="AJ95" s="4">
        <f t="shared" si="11"/>
        <v>0</v>
      </c>
      <c r="AK95" s="4">
        <f t="shared" si="12"/>
        <v>0</v>
      </c>
    </row>
    <row r="96" spans="1:37" x14ac:dyDescent="0.25">
      <c r="A96" s="2">
        <v>91</v>
      </c>
      <c r="B96" s="2">
        <f>Annual_Report!B92</f>
        <v>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4">
        <f t="shared" si="9"/>
        <v>0</v>
      </c>
      <c r="AI96" s="4">
        <f t="shared" si="10"/>
        <v>0</v>
      </c>
      <c r="AJ96" s="4">
        <f t="shared" si="11"/>
        <v>0</v>
      </c>
      <c r="AK96" s="4">
        <f t="shared" si="12"/>
        <v>0</v>
      </c>
    </row>
    <row r="97" spans="1:37" x14ac:dyDescent="0.25">
      <c r="A97" s="2">
        <v>92</v>
      </c>
      <c r="B97" s="2">
        <f>Annual_Report!B93</f>
        <v>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4">
        <f t="shared" si="9"/>
        <v>0</v>
      </c>
      <c r="AI97" s="4">
        <f t="shared" si="10"/>
        <v>0</v>
      </c>
      <c r="AJ97" s="4">
        <f t="shared" si="11"/>
        <v>0</v>
      </c>
      <c r="AK97" s="4">
        <f t="shared" si="12"/>
        <v>0</v>
      </c>
    </row>
    <row r="98" spans="1:37" x14ac:dyDescent="0.25">
      <c r="A98" s="2">
        <v>93</v>
      </c>
      <c r="B98" s="2">
        <f>Annual_Report!B94</f>
        <v>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4">
        <f t="shared" si="9"/>
        <v>0</v>
      </c>
      <c r="AI98" s="4">
        <f t="shared" si="10"/>
        <v>0</v>
      </c>
      <c r="AJ98" s="4">
        <f t="shared" si="11"/>
        <v>0</v>
      </c>
      <c r="AK98" s="4">
        <f t="shared" si="12"/>
        <v>0</v>
      </c>
    </row>
    <row r="99" spans="1:37" x14ac:dyDescent="0.25">
      <c r="A99" s="2">
        <v>94</v>
      </c>
      <c r="B99" s="2">
        <f>Annual_Report!B95</f>
        <v>0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4">
        <f t="shared" si="9"/>
        <v>0</v>
      </c>
      <c r="AI99" s="4">
        <f t="shared" si="10"/>
        <v>0</v>
      </c>
      <c r="AJ99" s="4">
        <f t="shared" si="11"/>
        <v>0</v>
      </c>
      <c r="AK99" s="4">
        <f t="shared" si="12"/>
        <v>0</v>
      </c>
    </row>
    <row r="100" spans="1:37" x14ac:dyDescent="0.25">
      <c r="A100" s="2">
        <v>95</v>
      </c>
      <c r="B100" s="2">
        <f>Annual_Report!B96</f>
        <v>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4">
        <f t="shared" si="9"/>
        <v>0</v>
      </c>
      <c r="AI100" s="4">
        <f t="shared" si="10"/>
        <v>0</v>
      </c>
      <c r="AJ100" s="4">
        <f t="shared" si="11"/>
        <v>0</v>
      </c>
      <c r="AK100" s="4">
        <f t="shared" si="12"/>
        <v>0</v>
      </c>
    </row>
    <row r="101" spans="1:37" x14ac:dyDescent="0.25">
      <c r="A101" s="2">
        <v>96</v>
      </c>
      <c r="B101" s="2">
        <f>Annual_Report!B97</f>
        <v>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4">
        <f t="shared" si="9"/>
        <v>0</v>
      </c>
      <c r="AI101" s="4">
        <f t="shared" si="10"/>
        <v>0</v>
      </c>
      <c r="AJ101" s="4">
        <f t="shared" si="11"/>
        <v>0</v>
      </c>
      <c r="AK101" s="4">
        <f t="shared" si="12"/>
        <v>0</v>
      </c>
    </row>
    <row r="102" spans="1:37" x14ac:dyDescent="0.25">
      <c r="A102" s="2">
        <v>97</v>
      </c>
      <c r="B102" s="2">
        <f>Annual_Report!B98</f>
        <v>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4">
        <f t="shared" si="9"/>
        <v>0</v>
      </c>
      <c r="AI102" s="4">
        <f t="shared" si="10"/>
        <v>0</v>
      </c>
      <c r="AJ102" s="4">
        <f t="shared" si="11"/>
        <v>0</v>
      </c>
      <c r="AK102" s="4">
        <f t="shared" si="12"/>
        <v>0</v>
      </c>
    </row>
    <row r="103" spans="1:37" x14ac:dyDescent="0.25">
      <c r="A103" s="2">
        <v>98</v>
      </c>
      <c r="B103" s="2">
        <f>Annual_Report!B99</f>
        <v>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4">
        <f t="shared" si="9"/>
        <v>0</v>
      </c>
      <c r="AI103" s="4">
        <f t="shared" si="10"/>
        <v>0</v>
      </c>
      <c r="AJ103" s="4">
        <f t="shared" si="11"/>
        <v>0</v>
      </c>
      <c r="AK103" s="4">
        <f t="shared" si="12"/>
        <v>0</v>
      </c>
    </row>
    <row r="104" spans="1:37" x14ac:dyDescent="0.25">
      <c r="A104" s="2">
        <v>99</v>
      </c>
      <c r="B104" s="2">
        <f>Annual_Report!B100</f>
        <v>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4">
        <f t="shared" si="9"/>
        <v>0</v>
      </c>
      <c r="AI104" s="4">
        <f t="shared" si="10"/>
        <v>0</v>
      </c>
      <c r="AJ104" s="4">
        <f t="shared" si="11"/>
        <v>0</v>
      </c>
      <c r="AK104" s="4">
        <f t="shared" si="12"/>
        <v>0</v>
      </c>
    </row>
    <row r="105" spans="1:37" x14ac:dyDescent="0.25">
      <c r="A105" s="2">
        <v>100</v>
      </c>
      <c r="B105" s="2">
        <f>Annual_Report!B101</f>
        <v>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4">
        <f t="shared" si="9"/>
        <v>0</v>
      </c>
      <c r="AI105" s="4">
        <f t="shared" si="10"/>
        <v>0</v>
      </c>
      <c r="AJ105" s="4">
        <f t="shared" si="11"/>
        <v>0</v>
      </c>
      <c r="AK105" s="4">
        <f t="shared" si="12"/>
        <v>0</v>
      </c>
    </row>
  </sheetData>
  <conditionalFormatting sqref="C6:AG105">
    <cfRule type="cellIs" dxfId="53" priority="1" stopIfTrue="1" operator="equal">
      <formula>"ح"</formula>
    </cfRule>
    <cfRule type="cellIs" dxfId="52" priority="2" stopIfTrue="1" operator="equal">
      <formula>"غ"</formula>
    </cfRule>
    <cfRule type="cellIs" dxfId="51" priority="3" stopIfTrue="1" operator="equal">
      <formula>"ج"</formula>
    </cfRule>
    <cfRule type="cellIs" dxfId="50" priority="4" stopIfTrue="1" operator="equal">
      <formula>"م"</formula>
    </cfRule>
    <cfRule type="cellIs" dxfId="49" priority="5" stopIfTrue="1" operator="equal">
      <formula>"ج"</formula>
    </cfRule>
    <cfRule type="cellIs" dxfId="48" priority="6" stopIfTrue="1" operator="equal">
      <formula>"م"</formula>
    </cfRule>
  </conditionalFormatting>
  <dataValidations count="1">
    <dataValidation type="list" allowBlank="1" showErrorMessage="1" errorTitle="خطأ في الإدخال" error="يرجى استخدام الحروف الصحيحة: ح - غ - ج - م" sqref="C6:AG105" xr:uid="{627A1361-3E3D-40CD-B04B-33D447298571}">
      <formula1>"ح,غ,ج,م"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DE2B-F263-4F13-8F87-6E4AB890A51B}">
  <sheetPr codeName="Sheet85"/>
  <dimension ref="A1:AK105"/>
  <sheetViews>
    <sheetView rightToLeft="1" topLeftCell="A4" workbookViewId="0">
      <selection activeCell="C6" sqref="C6"/>
    </sheetView>
  </sheetViews>
  <sheetFormatPr defaultRowHeight="15" x14ac:dyDescent="0.25"/>
  <cols>
    <col min="1" max="1" width="4.7109375" customWidth="1"/>
    <col min="2" max="2" width="25.7109375" customWidth="1"/>
    <col min="3" max="33" width="4.7109375" customWidth="1"/>
    <col min="34" max="34" width="5.85546875" bestFit="1" customWidth="1"/>
    <col min="35" max="35" width="4.7109375" bestFit="1" customWidth="1"/>
    <col min="36" max="36" width="4.5703125" bestFit="1" customWidth="1"/>
    <col min="37" max="37" width="6" bestFit="1" customWidth="1"/>
  </cols>
  <sheetData>
    <row r="1" spans="1:37" x14ac:dyDescent="0.25">
      <c r="A1" s="6"/>
      <c r="B1" s="6"/>
      <c r="C1" s="5" t="s">
        <v>9</v>
      </c>
      <c r="D1" s="5" t="s">
        <v>0</v>
      </c>
      <c r="E1" s="5" t="s">
        <v>1</v>
      </c>
      <c r="F1" s="5" t="s">
        <v>10</v>
      </c>
      <c r="G1" s="5" t="s">
        <v>11</v>
      </c>
    </row>
    <row r="2" spans="1:37" x14ac:dyDescent="0.25">
      <c r="A2" s="6"/>
      <c r="B2" s="6"/>
      <c r="C2" s="5" t="s">
        <v>12</v>
      </c>
      <c r="D2" s="5" t="s">
        <v>6</v>
      </c>
      <c r="E2" s="5" t="s">
        <v>7</v>
      </c>
      <c r="F2" s="5" t="s">
        <v>8</v>
      </c>
      <c r="G2" s="5" t="s">
        <v>2</v>
      </c>
    </row>
    <row r="4" spans="1:37" ht="65.099999999999994" customHeight="1" x14ac:dyDescent="0.25">
      <c r="A4" s="2" t="s">
        <v>2</v>
      </c>
      <c r="B4" s="2" t="s">
        <v>3</v>
      </c>
      <c r="C4" s="1" t="str">
        <f>CHOOSE(WEEKDAY(C5), "الأحد","الاثنين","الثلاثاء","الأربعاء","الخميس","الجمعة","السبت")</f>
        <v>الجمعة</v>
      </c>
      <c r="D4" s="1" t="str">
        <f t="shared" ref="D4:AG4" si="0">CHOOSE(WEEKDAY(D5), "الأحد","الاثنين","الثلاثاء","الأربعاء","الخميس","الجمعة","السبت")</f>
        <v>السبت</v>
      </c>
      <c r="E4" s="1" t="str">
        <f t="shared" si="0"/>
        <v>الأحد</v>
      </c>
      <c r="F4" s="1" t="str">
        <f t="shared" si="0"/>
        <v>الاثنين</v>
      </c>
      <c r="G4" s="1" t="str">
        <f t="shared" si="0"/>
        <v>الثلاثاء</v>
      </c>
      <c r="H4" s="1" t="str">
        <f t="shared" si="0"/>
        <v>الأربعاء</v>
      </c>
      <c r="I4" s="1" t="str">
        <f t="shared" si="0"/>
        <v>الخميس</v>
      </c>
      <c r="J4" s="1" t="str">
        <f t="shared" si="0"/>
        <v>الجمعة</v>
      </c>
      <c r="K4" s="1" t="str">
        <f t="shared" si="0"/>
        <v>السبت</v>
      </c>
      <c r="L4" s="1" t="str">
        <f t="shared" si="0"/>
        <v>الأحد</v>
      </c>
      <c r="M4" s="1" t="str">
        <f t="shared" si="0"/>
        <v>الاثنين</v>
      </c>
      <c r="N4" s="1" t="str">
        <f t="shared" si="0"/>
        <v>الثلاثاء</v>
      </c>
      <c r="O4" s="1" t="str">
        <f t="shared" si="0"/>
        <v>الأربعاء</v>
      </c>
      <c r="P4" s="1" t="str">
        <f t="shared" si="0"/>
        <v>الخميس</v>
      </c>
      <c r="Q4" s="1" t="str">
        <f t="shared" si="0"/>
        <v>الجمعة</v>
      </c>
      <c r="R4" s="1" t="str">
        <f t="shared" si="0"/>
        <v>السبت</v>
      </c>
      <c r="S4" s="1" t="str">
        <f t="shared" si="0"/>
        <v>الأحد</v>
      </c>
      <c r="T4" s="1" t="str">
        <f t="shared" si="0"/>
        <v>الاثنين</v>
      </c>
      <c r="U4" s="1" t="str">
        <f t="shared" si="0"/>
        <v>الثلاثاء</v>
      </c>
      <c r="V4" s="1" t="str">
        <f t="shared" si="0"/>
        <v>الأربعاء</v>
      </c>
      <c r="W4" s="1" t="str">
        <f t="shared" si="0"/>
        <v>الخميس</v>
      </c>
      <c r="X4" s="1" t="str">
        <f t="shared" si="0"/>
        <v>الجمعة</v>
      </c>
      <c r="Y4" s="1" t="str">
        <f t="shared" si="0"/>
        <v>السبت</v>
      </c>
      <c r="Z4" s="1" t="str">
        <f t="shared" si="0"/>
        <v>الأحد</v>
      </c>
      <c r="AA4" s="1" t="str">
        <f t="shared" si="0"/>
        <v>الاثنين</v>
      </c>
      <c r="AB4" s="1" t="str">
        <f t="shared" si="0"/>
        <v>الثلاثاء</v>
      </c>
      <c r="AC4" s="1" t="str">
        <f t="shared" si="0"/>
        <v>الأربعاء</v>
      </c>
      <c r="AD4" s="1" t="str">
        <f t="shared" si="0"/>
        <v>الخميس</v>
      </c>
      <c r="AE4" s="1" t="str">
        <f t="shared" si="0"/>
        <v>الجمعة</v>
      </c>
      <c r="AF4" s="1" t="str">
        <f t="shared" si="0"/>
        <v>السبت</v>
      </c>
      <c r="AG4" s="1" t="str">
        <f t="shared" si="0"/>
        <v>الأحد</v>
      </c>
      <c r="AH4" s="9" t="s">
        <v>0</v>
      </c>
      <c r="AI4" s="9" t="s">
        <v>1</v>
      </c>
      <c r="AJ4" s="9" t="s">
        <v>10</v>
      </c>
      <c r="AK4" s="9" t="s">
        <v>11</v>
      </c>
    </row>
    <row r="5" spans="1:37" x14ac:dyDescent="0.25">
      <c r="A5" s="2"/>
      <c r="B5" s="2"/>
      <c r="C5" s="3" cm="1">
        <f t="array" ref="C5:AG5">_xlfn.SEQUENCE(1, DAY(EOMONTH(DATE(2026,5,1),0)), DATE(2026,5,1))</f>
        <v>46143</v>
      </c>
      <c r="D5" s="3">
        <v>46144</v>
      </c>
      <c r="E5" s="3">
        <v>46145</v>
      </c>
      <c r="F5" s="3">
        <v>46146</v>
      </c>
      <c r="G5" s="3">
        <v>46147</v>
      </c>
      <c r="H5" s="3">
        <v>46148</v>
      </c>
      <c r="I5" s="3">
        <v>46149</v>
      </c>
      <c r="J5" s="3">
        <v>46150</v>
      </c>
      <c r="K5" s="3">
        <v>46151</v>
      </c>
      <c r="L5" s="3">
        <v>46152</v>
      </c>
      <c r="M5" s="3">
        <v>46153</v>
      </c>
      <c r="N5" s="3">
        <v>46154</v>
      </c>
      <c r="O5" s="3">
        <v>46155</v>
      </c>
      <c r="P5" s="3">
        <v>46156</v>
      </c>
      <c r="Q5" s="3">
        <v>46157</v>
      </c>
      <c r="R5" s="3">
        <v>46158</v>
      </c>
      <c r="S5" s="3">
        <v>46159</v>
      </c>
      <c r="T5" s="3">
        <v>46160</v>
      </c>
      <c r="U5" s="3">
        <v>46161</v>
      </c>
      <c r="V5" s="3">
        <v>46162</v>
      </c>
      <c r="W5" s="3">
        <v>46163</v>
      </c>
      <c r="X5" s="3">
        <v>46164</v>
      </c>
      <c r="Y5" s="3">
        <v>46165</v>
      </c>
      <c r="Z5" s="3">
        <v>46166</v>
      </c>
      <c r="AA5" s="3">
        <v>46167</v>
      </c>
      <c r="AB5" s="3">
        <v>46168</v>
      </c>
      <c r="AC5" s="3">
        <v>46169</v>
      </c>
      <c r="AD5" s="3">
        <v>46170</v>
      </c>
      <c r="AE5" s="3">
        <v>46171</v>
      </c>
      <c r="AF5" s="3">
        <v>46172</v>
      </c>
      <c r="AG5" s="3">
        <v>46173</v>
      </c>
      <c r="AH5" s="4"/>
      <c r="AI5" s="4"/>
      <c r="AJ5" s="4"/>
      <c r="AK5" s="4"/>
    </row>
    <row r="6" spans="1:37" x14ac:dyDescent="0.25">
      <c r="A6" s="2">
        <v>1</v>
      </c>
      <c r="B6" s="2">
        <f>Annual_Report!B2</f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4">
        <f t="shared" ref="AH6:AH37" si="1">COUNTIF($C6:$AG6, "ح")</f>
        <v>0</v>
      </c>
      <c r="AI6" s="4">
        <f t="shared" ref="AI6:AI37" si="2">COUNTIF($C6:$AG6, "غ")</f>
        <v>0</v>
      </c>
      <c r="AJ6" s="4">
        <f t="shared" ref="AJ6:AJ37" si="3">COUNTIF($C6:$AG6, "ج")</f>
        <v>0</v>
      </c>
      <c r="AK6" s="4">
        <f t="shared" ref="AK6:AK37" si="4">COUNTIF($C6:$AG6, "م")</f>
        <v>0</v>
      </c>
    </row>
    <row r="7" spans="1:37" x14ac:dyDescent="0.25">
      <c r="A7" s="2">
        <v>2</v>
      </c>
      <c r="B7" s="2">
        <f>Annual_Report!B3</f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4">
        <f t="shared" si="1"/>
        <v>0</v>
      </c>
      <c r="AI7" s="4">
        <f t="shared" si="2"/>
        <v>0</v>
      </c>
      <c r="AJ7" s="4">
        <f t="shared" si="3"/>
        <v>0</v>
      </c>
      <c r="AK7" s="4">
        <f t="shared" si="4"/>
        <v>0</v>
      </c>
    </row>
    <row r="8" spans="1:37" x14ac:dyDescent="0.25">
      <c r="A8" s="2">
        <v>3</v>
      </c>
      <c r="B8" s="2">
        <f>Annual_Report!B4</f>
        <v>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4">
        <f t="shared" si="1"/>
        <v>0</v>
      </c>
      <c r="AI8" s="4">
        <f t="shared" si="2"/>
        <v>0</v>
      </c>
      <c r="AJ8" s="4">
        <f t="shared" si="3"/>
        <v>0</v>
      </c>
      <c r="AK8" s="4">
        <f t="shared" si="4"/>
        <v>0</v>
      </c>
    </row>
    <row r="9" spans="1:37" x14ac:dyDescent="0.25">
      <c r="A9" s="2">
        <v>4</v>
      </c>
      <c r="B9" s="2">
        <f>Annual_Report!B5</f>
        <v>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4">
        <f t="shared" si="1"/>
        <v>0</v>
      </c>
      <c r="AI9" s="4">
        <f t="shared" si="2"/>
        <v>0</v>
      </c>
      <c r="AJ9" s="4">
        <f t="shared" si="3"/>
        <v>0</v>
      </c>
      <c r="AK9" s="4">
        <f t="shared" si="4"/>
        <v>0</v>
      </c>
    </row>
    <row r="10" spans="1:37" x14ac:dyDescent="0.25">
      <c r="A10" s="2">
        <v>5</v>
      </c>
      <c r="B10" s="2">
        <f>Annual_Report!B6</f>
        <v>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4">
        <f t="shared" si="1"/>
        <v>0</v>
      </c>
      <c r="AI10" s="4">
        <f t="shared" si="2"/>
        <v>0</v>
      </c>
      <c r="AJ10" s="4">
        <f t="shared" si="3"/>
        <v>0</v>
      </c>
      <c r="AK10" s="4">
        <f t="shared" si="4"/>
        <v>0</v>
      </c>
    </row>
    <row r="11" spans="1:37" x14ac:dyDescent="0.25">
      <c r="A11" s="2">
        <v>6</v>
      </c>
      <c r="B11" s="2">
        <f>Annual_Report!B7</f>
        <v>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4">
        <f t="shared" si="1"/>
        <v>0</v>
      </c>
      <c r="AI11" s="4">
        <f t="shared" si="2"/>
        <v>0</v>
      </c>
      <c r="AJ11" s="4">
        <f t="shared" si="3"/>
        <v>0</v>
      </c>
      <c r="AK11" s="4">
        <f t="shared" si="4"/>
        <v>0</v>
      </c>
    </row>
    <row r="12" spans="1:37" x14ac:dyDescent="0.25">
      <c r="A12" s="2">
        <v>7</v>
      </c>
      <c r="B12" s="2">
        <f>Annual_Report!B8</f>
        <v>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4">
        <f t="shared" si="1"/>
        <v>0</v>
      </c>
      <c r="AI12" s="4">
        <f t="shared" si="2"/>
        <v>0</v>
      </c>
      <c r="AJ12" s="4">
        <f t="shared" si="3"/>
        <v>0</v>
      </c>
      <c r="AK12" s="4">
        <f t="shared" si="4"/>
        <v>0</v>
      </c>
    </row>
    <row r="13" spans="1:37" x14ac:dyDescent="0.25">
      <c r="A13" s="2">
        <v>8</v>
      </c>
      <c r="B13" s="2">
        <f>Annual_Report!B9</f>
        <v>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4">
        <f t="shared" si="1"/>
        <v>0</v>
      </c>
      <c r="AI13" s="4">
        <f t="shared" si="2"/>
        <v>0</v>
      </c>
      <c r="AJ13" s="4">
        <f t="shared" si="3"/>
        <v>0</v>
      </c>
      <c r="AK13" s="4">
        <f t="shared" si="4"/>
        <v>0</v>
      </c>
    </row>
    <row r="14" spans="1:37" x14ac:dyDescent="0.25">
      <c r="A14" s="2">
        <v>9</v>
      </c>
      <c r="B14" s="2">
        <f>Annual_Report!B10</f>
        <v>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4">
        <f t="shared" si="1"/>
        <v>0</v>
      </c>
      <c r="AI14" s="4">
        <f t="shared" si="2"/>
        <v>0</v>
      </c>
      <c r="AJ14" s="4">
        <f t="shared" si="3"/>
        <v>0</v>
      </c>
      <c r="AK14" s="4">
        <f t="shared" si="4"/>
        <v>0</v>
      </c>
    </row>
    <row r="15" spans="1:37" x14ac:dyDescent="0.25">
      <c r="A15" s="2">
        <v>10</v>
      </c>
      <c r="B15" s="2">
        <f>Annual_Report!B11</f>
        <v>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4">
        <f t="shared" si="1"/>
        <v>0</v>
      </c>
      <c r="AI15" s="4">
        <f t="shared" si="2"/>
        <v>0</v>
      </c>
      <c r="AJ15" s="4">
        <f t="shared" si="3"/>
        <v>0</v>
      </c>
      <c r="AK15" s="4">
        <f t="shared" si="4"/>
        <v>0</v>
      </c>
    </row>
    <row r="16" spans="1:37" x14ac:dyDescent="0.25">
      <c r="A16" s="2">
        <v>11</v>
      </c>
      <c r="B16" s="2">
        <f>Annual_Report!B12</f>
        <v>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4">
        <f t="shared" si="1"/>
        <v>0</v>
      </c>
      <c r="AI16" s="4">
        <f t="shared" si="2"/>
        <v>0</v>
      </c>
      <c r="AJ16" s="4">
        <f t="shared" si="3"/>
        <v>0</v>
      </c>
      <c r="AK16" s="4">
        <f t="shared" si="4"/>
        <v>0</v>
      </c>
    </row>
    <row r="17" spans="1:37" x14ac:dyDescent="0.25">
      <c r="A17" s="2">
        <v>12</v>
      </c>
      <c r="B17" s="2">
        <f>Annual_Report!B13</f>
        <v>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4">
        <f t="shared" si="1"/>
        <v>0</v>
      </c>
      <c r="AI17" s="4">
        <f t="shared" si="2"/>
        <v>0</v>
      </c>
      <c r="AJ17" s="4">
        <f t="shared" si="3"/>
        <v>0</v>
      </c>
      <c r="AK17" s="4">
        <f t="shared" si="4"/>
        <v>0</v>
      </c>
    </row>
    <row r="18" spans="1:37" x14ac:dyDescent="0.25">
      <c r="A18" s="2">
        <v>13</v>
      </c>
      <c r="B18" s="2">
        <f>Annual_Report!B14</f>
        <v>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4">
        <f t="shared" si="1"/>
        <v>0</v>
      </c>
      <c r="AI18" s="4">
        <f t="shared" si="2"/>
        <v>0</v>
      </c>
      <c r="AJ18" s="4">
        <f t="shared" si="3"/>
        <v>0</v>
      </c>
      <c r="AK18" s="4">
        <f t="shared" si="4"/>
        <v>0</v>
      </c>
    </row>
    <row r="19" spans="1:37" x14ac:dyDescent="0.25">
      <c r="A19" s="2">
        <v>14</v>
      </c>
      <c r="B19" s="2">
        <f>Annual_Report!B15</f>
        <v>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4">
        <f t="shared" si="1"/>
        <v>0</v>
      </c>
      <c r="AI19" s="4">
        <f t="shared" si="2"/>
        <v>0</v>
      </c>
      <c r="AJ19" s="4">
        <f t="shared" si="3"/>
        <v>0</v>
      </c>
      <c r="AK19" s="4">
        <f t="shared" si="4"/>
        <v>0</v>
      </c>
    </row>
    <row r="20" spans="1:37" x14ac:dyDescent="0.25">
      <c r="A20" s="2">
        <v>15</v>
      </c>
      <c r="B20" s="2">
        <f>Annual_Report!B16</f>
        <v>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4">
        <f t="shared" si="1"/>
        <v>0</v>
      </c>
      <c r="AI20" s="4">
        <f t="shared" si="2"/>
        <v>0</v>
      </c>
      <c r="AJ20" s="4">
        <f t="shared" si="3"/>
        <v>0</v>
      </c>
      <c r="AK20" s="4">
        <f t="shared" si="4"/>
        <v>0</v>
      </c>
    </row>
    <row r="21" spans="1:37" x14ac:dyDescent="0.25">
      <c r="A21" s="2">
        <v>16</v>
      </c>
      <c r="B21" s="2">
        <f>Annual_Report!B17</f>
        <v>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4">
        <f t="shared" si="1"/>
        <v>0</v>
      </c>
      <c r="AI21" s="4">
        <f t="shared" si="2"/>
        <v>0</v>
      </c>
      <c r="AJ21" s="4">
        <f t="shared" si="3"/>
        <v>0</v>
      </c>
      <c r="AK21" s="4">
        <f t="shared" si="4"/>
        <v>0</v>
      </c>
    </row>
    <row r="22" spans="1:37" x14ac:dyDescent="0.25">
      <c r="A22" s="2">
        <v>17</v>
      </c>
      <c r="B22" s="2">
        <f>Annual_Report!B18</f>
        <v>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4">
        <f t="shared" si="1"/>
        <v>0</v>
      </c>
      <c r="AI22" s="4">
        <f t="shared" si="2"/>
        <v>0</v>
      </c>
      <c r="AJ22" s="4">
        <f t="shared" si="3"/>
        <v>0</v>
      </c>
      <c r="AK22" s="4">
        <f t="shared" si="4"/>
        <v>0</v>
      </c>
    </row>
    <row r="23" spans="1:37" x14ac:dyDescent="0.25">
      <c r="A23" s="2">
        <v>18</v>
      </c>
      <c r="B23" s="2">
        <f>Annual_Report!B19</f>
        <v>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4">
        <f t="shared" si="1"/>
        <v>0</v>
      </c>
      <c r="AI23" s="4">
        <f t="shared" si="2"/>
        <v>0</v>
      </c>
      <c r="AJ23" s="4">
        <f t="shared" si="3"/>
        <v>0</v>
      </c>
      <c r="AK23" s="4">
        <f t="shared" si="4"/>
        <v>0</v>
      </c>
    </row>
    <row r="24" spans="1:37" x14ac:dyDescent="0.25">
      <c r="A24" s="2">
        <v>19</v>
      </c>
      <c r="B24" s="2">
        <f>Annual_Report!B20</f>
        <v>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4">
        <f t="shared" si="1"/>
        <v>0</v>
      </c>
      <c r="AI24" s="4">
        <f t="shared" si="2"/>
        <v>0</v>
      </c>
      <c r="AJ24" s="4">
        <f t="shared" si="3"/>
        <v>0</v>
      </c>
      <c r="AK24" s="4">
        <f t="shared" si="4"/>
        <v>0</v>
      </c>
    </row>
    <row r="25" spans="1:37" x14ac:dyDescent="0.25">
      <c r="A25" s="2">
        <v>20</v>
      </c>
      <c r="B25" s="2">
        <f>Annual_Report!B21</f>
        <v>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4">
        <f t="shared" si="1"/>
        <v>0</v>
      </c>
      <c r="AI25" s="4">
        <f t="shared" si="2"/>
        <v>0</v>
      </c>
      <c r="AJ25" s="4">
        <f t="shared" si="3"/>
        <v>0</v>
      </c>
      <c r="AK25" s="4">
        <f t="shared" si="4"/>
        <v>0</v>
      </c>
    </row>
    <row r="26" spans="1:37" x14ac:dyDescent="0.25">
      <c r="A26" s="2">
        <v>21</v>
      </c>
      <c r="B26" s="2">
        <f>Annual_Report!B22</f>
        <v>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4">
        <f t="shared" si="1"/>
        <v>0</v>
      </c>
      <c r="AI26" s="4">
        <f t="shared" si="2"/>
        <v>0</v>
      </c>
      <c r="AJ26" s="4">
        <f t="shared" si="3"/>
        <v>0</v>
      </c>
      <c r="AK26" s="4">
        <f t="shared" si="4"/>
        <v>0</v>
      </c>
    </row>
    <row r="27" spans="1:37" x14ac:dyDescent="0.25">
      <c r="A27" s="2">
        <v>22</v>
      </c>
      <c r="B27" s="2">
        <f>Annual_Report!B23</f>
        <v>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4">
        <f t="shared" si="1"/>
        <v>0</v>
      </c>
      <c r="AI27" s="4">
        <f t="shared" si="2"/>
        <v>0</v>
      </c>
      <c r="AJ27" s="4">
        <f t="shared" si="3"/>
        <v>0</v>
      </c>
      <c r="AK27" s="4">
        <f t="shared" si="4"/>
        <v>0</v>
      </c>
    </row>
    <row r="28" spans="1:37" x14ac:dyDescent="0.25">
      <c r="A28" s="2">
        <v>23</v>
      </c>
      <c r="B28" s="2">
        <f>Annual_Report!B24</f>
        <v>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4">
        <f t="shared" si="1"/>
        <v>0</v>
      </c>
      <c r="AI28" s="4">
        <f t="shared" si="2"/>
        <v>0</v>
      </c>
      <c r="AJ28" s="4">
        <f t="shared" si="3"/>
        <v>0</v>
      </c>
      <c r="AK28" s="4">
        <f t="shared" si="4"/>
        <v>0</v>
      </c>
    </row>
    <row r="29" spans="1:37" x14ac:dyDescent="0.25">
      <c r="A29" s="2">
        <v>24</v>
      </c>
      <c r="B29" s="2">
        <f>Annual_Report!B25</f>
        <v>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4">
        <f t="shared" si="1"/>
        <v>0</v>
      </c>
      <c r="AI29" s="4">
        <f t="shared" si="2"/>
        <v>0</v>
      </c>
      <c r="AJ29" s="4">
        <f t="shared" si="3"/>
        <v>0</v>
      </c>
      <c r="AK29" s="4">
        <f t="shared" si="4"/>
        <v>0</v>
      </c>
    </row>
    <row r="30" spans="1:37" x14ac:dyDescent="0.25">
      <c r="A30" s="2">
        <v>25</v>
      </c>
      <c r="B30" s="2">
        <f>Annual_Report!B26</f>
        <v>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4">
        <f t="shared" si="1"/>
        <v>0</v>
      </c>
      <c r="AI30" s="4">
        <f t="shared" si="2"/>
        <v>0</v>
      </c>
      <c r="AJ30" s="4">
        <f t="shared" si="3"/>
        <v>0</v>
      </c>
      <c r="AK30" s="4">
        <f t="shared" si="4"/>
        <v>0</v>
      </c>
    </row>
    <row r="31" spans="1:37" x14ac:dyDescent="0.25">
      <c r="A31" s="2">
        <v>26</v>
      </c>
      <c r="B31" s="2">
        <f>Annual_Report!B27</f>
        <v>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4">
        <f t="shared" si="1"/>
        <v>0</v>
      </c>
      <c r="AI31" s="4">
        <f t="shared" si="2"/>
        <v>0</v>
      </c>
      <c r="AJ31" s="4">
        <f t="shared" si="3"/>
        <v>0</v>
      </c>
      <c r="AK31" s="4">
        <f t="shared" si="4"/>
        <v>0</v>
      </c>
    </row>
    <row r="32" spans="1:37" x14ac:dyDescent="0.25">
      <c r="A32" s="2">
        <v>27</v>
      </c>
      <c r="B32" s="2">
        <f>Annual_Report!B28</f>
        <v>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4">
        <f t="shared" si="1"/>
        <v>0</v>
      </c>
      <c r="AI32" s="4">
        <f t="shared" si="2"/>
        <v>0</v>
      </c>
      <c r="AJ32" s="4">
        <f t="shared" si="3"/>
        <v>0</v>
      </c>
      <c r="AK32" s="4">
        <f t="shared" si="4"/>
        <v>0</v>
      </c>
    </row>
    <row r="33" spans="1:37" x14ac:dyDescent="0.25">
      <c r="A33" s="2">
        <v>28</v>
      </c>
      <c r="B33" s="2">
        <f>Annual_Report!B29</f>
        <v>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4">
        <f t="shared" si="1"/>
        <v>0</v>
      </c>
      <c r="AI33" s="4">
        <f t="shared" si="2"/>
        <v>0</v>
      </c>
      <c r="AJ33" s="4">
        <f t="shared" si="3"/>
        <v>0</v>
      </c>
      <c r="AK33" s="4">
        <f t="shared" si="4"/>
        <v>0</v>
      </c>
    </row>
    <row r="34" spans="1:37" x14ac:dyDescent="0.25">
      <c r="A34" s="2">
        <v>29</v>
      </c>
      <c r="B34" s="2">
        <f>Annual_Report!B30</f>
        <v>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4">
        <f t="shared" si="1"/>
        <v>0</v>
      </c>
      <c r="AI34" s="4">
        <f t="shared" si="2"/>
        <v>0</v>
      </c>
      <c r="AJ34" s="4">
        <f t="shared" si="3"/>
        <v>0</v>
      </c>
      <c r="AK34" s="4">
        <f t="shared" si="4"/>
        <v>0</v>
      </c>
    </row>
    <row r="35" spans="1:37" x14ac:dyDescent="0.25">
      <c r="A35" s="2">
        <v>30</v>
      </c>
      <c r="B35" s="2">
        <f>Annual_Report!B31</f>
        <v>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4">
        <f t="shared" si="1"/>
        <v>0</v>
      </c>
      <c r="AI35" s="4">
        <f t="shared" si="2"/>
        <v>0</v>
      </c>
      <c r="AJ35" s="4">
        <f t="shared" si="3"/>
        <v>0</v>
      </c>
      <c r="AK35" s="4">
        <f t="shared" si="4"/>
        <v>0</v>
      </c>
    </row>
    <row r="36" spans="1:37" x14ac:dyDescent="0.25">
      <c r="A36" s="2">
        <v>31</v>
      </c>
      <c r="B36" s="2">
        <f>Annual_Report!B32</f>
        <v>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4">
        <f t="shared" si="1"/>
        <v>0</v>
      </c>
      <c r="AI36" s="4">
        <f t="shared" si="2"/>
        <v>0</v>
      </c>
      <c r="AJ36" s="4">
        <f t="shared" si="3"/>
        <v>0</v>
      </c>
      <c r="AK36" s="4">
        <f t="shared" si="4"/>
        <v>0</v>
      </c>
    </row>
    <row r="37" spans="1:37" x14ac:dyDescent="0.25">
      <c r="A37" s="2">
        <v>32</v>
      </c>
      <c r="B37" s="2">
        <f>Annual_Report!B33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4">
        <f t="shared" si="1"/>
        <v>0</v>
      </c>
      <c r="AI37" s="4">
        <f t="shared" si="2"/>
        <v>0</v>
      </c>
      <c r="AJ37" s="4">
        <f t="shared" si="3"/>
        <v>0</v>
      </c>
      <c r="AK37" s="4">
        <f t="shared" si="4"/>
        <v>0</v>
      </c>
    </row>
    <row r="38" spans="1:37" x14ac:dyDescent="0.25">
      <c r="A38" s="2">
        <v>33</v>
      </c>
      <c r="B38" s="2">
        <f>Annual_Report!B34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4">
        <f t="shared" ref="AH38:AH69" si="5">COUNTIF($C38:$AG38, "ح")</f>
        <v>0</v>
      </c>
      <c r="AI38" s="4">
        <f t="shared" ref="AI38:AI69" si="6">COUNTIF($C38:$AG38, "غ")</f>
        <v>0</v>
      </c>
      <c r="AJ38" s="4">
        <f t="shared" ref="AJ38:AJ69" si="7">COUNTIF($C38:$AG38, "ج")</f>
        <v>0</v>
      </c>
      <c r="AK38" s="4">
        <f t="shared" ref="AK38:AK69" si="8">COUNTIF($C38:$AG38, "م")</f>
        <v>0</v>
      </c>
    </row>
    <row r="39" spans="1:37" x14ac:dyDescent="0.25">
      <c r="A39" s="2">
        <v>34</v>
      </c>
      <c r="B39" s="2">
        <f>Annual_Report!B35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4">
        <f t="shared" si="5"/>
        <v>0</v>
      </c>
      <c r="AI39" s="4">
        <f t="shared" si="6"/>
        <v>0</v>
      </c>
      <c r="AJ39" s="4">
        <f t="shared" si="7"/>
        <v>0</v>
      </c>
      <c r="AK39" s="4">
        <f t="shared" si="8"/>
        <v>0</v>
      </c>
    </row>
    <row r="40" spans="1:37" x14ac:dyDescent="0.25">
      <c r="A40" s="2">
        <v>35</v>
      </c>
      <c r="B40" s="2">
        <f>Annual_Report!B36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4">
        <f t="shared" si="5"/>
        <v>0</v>
      </c>
      <c r="AI40" s="4">
        <f t="shared" si="6"/>
        <v>0</v>
      </c>
      <c r="AJ40" s="4">
        <f t="shared" si="7"/>
        <v>0</v>
      </c>
      <c r="AK40" s="4">
        <f t="shared" si="8"/>
        <v>0</v>
      </c>
    </row>
    <row r="41" spans="1:37" x14ac:dyDescent="0.25">
      <c r="A41" s="2">
        <v>36</v>
      </c>
      <c r="B41" s="2">
        <f>Annual_Report!B37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4">
        <f t="shared" si="5"/>
        <v>0</v>
      </c>
      <c r="AI41" s="4">
        <f t="shared" si="6"/>
        <v>0</v>
      </c>
      <c r="AJ41" s="4">
        <f t="shared" si="7"/>
        <v>0</v>
      </c>
      <c r="AK41" s="4">
        <f t="shared" si="8"/>
        <v>0</v>
      </c>
    </row>
    <row r="42" spans="1:37" x14ac:dyDescent="0.25">
      <c r="A42" s="2">
        <v>37</v>
      </c>
      <c r="B42" s="2">
        <f>Annual_Report!B38</f>
        <v>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4">
        <f t="shared" si="5"/>
        <v>0</v>
      </c>
      <c r="AI42" s="4">
        <f t="shared" si="6"/>
        <v>0</v>
      </c>
      <c r="AJ42" s="4">
        <f t="shared" si="7"/>
        <v>0</v>
      </c>
      <c r="AK42" s="4">
        <f t="shared" si="8"/>
        <v>0</v>
      </c>
    </row>
    <row r="43" spans="1:37" x14ac:dyDescent="0.25">
      <c r="A43" s="2">
        <v>38</v>
      </c>
      <c r="B43" s="2">
        <f>Annual_Report!B39</f>
        <v>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4">
        <f t="shared" si="5"/>
        <v>0</v>
      </c>
      <c r="AI43" s="4">
        <f t="shared" si="6"/>
        <v>0</v>
      </c>
      <c r="AJ43" s="4">
        <f t="shared" si="7"/>
        <v>0</v>
      </c>
      <c r="AK43" s="4">
        <f t="shared" si="8"/>
        <v>0</v>
      </c>
    </row>
    <row r="44" spans="1:37" x14ac:dyDescent="0.25">
      <c r="A44" s="2">
        <v>39</v>
      </c>
      <c r="B44" s="2">
        <f>Annual_Report!B40</f>
        <v>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4">
        <f t="shared" si="5"/>
        <v>0</v>
      </c>
      <c r="AI44" s="4">
        <f t="shared" si="6"/>
        <v>0</v>
      </c>
      <c r="AJ44" s="4">
        <f t="shared" si="7"/>
        <v>0</v>
      </c>
      <c r="AK44" s="4">
        <f t="shared" si="8"/>
        <v>0</v>
      </c>
    </row>
    <row r="45" spans="1:37" x14ac:dyDescent="0.25">
      <c r="A45" s="2">
        <v>40</v>
      </c>
      <c r="B45" s="2">
        <f>Annual_Report!B41</f>
        <v>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4">
        <f t="shared" si="5"/>
        <v>0</v>
      </c>
      <c r="AI45" s="4">
        <f t="shared" si="6"/>
        <v>0</v>
      </c>
      <c r="AJ45" s="4">
        <f t="shared" si="7"/>
        <v>0</v>
      </c>
      <c r="AK45" s="4">
        <f t="shared" si="8"/>
        <v>0</v>
      </c>
    </row>
    <row r="46" spans="1:37" x14ac:dyDescent="0.25">
      <c r="A46" s="2">
        <v>41</v>
      </c>
      <c r="B46" s="2">
        <f>Annual_Report!B42</f>
        <v>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4">
        <f t="shared" si="5"/>
        <v>0</v>
      </c>
      <c r="AI46" s="4">
        <f t="shared" si="6"/>
        <v>0</v>
      </c>
      <c r="AJ46" s="4">
        <f t="shared" si="7"/>
        <v>0</v>
      </c>
      <c r="AK46" s="4">
        <f t="shared" si="8"/>
        <v>0</v>
      </c>
    </row>
    <row r="47" spans="1:37" x14ac:dyDescent="0.25">
      <c r="A47" s="2">
        <v>42</v>
      </c>
      <c r="B47" s="2">
        <f>Annual_Report!B43</f>
        <v>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4">
        <f t="shared" si="5"/>
        <v>0</v>
      </c>
      <c r="AI47" s="4">
        <f t="shared" si="6"/>
        <v>0</v>
      </c>
      <c r="AJ47" s="4">
        <f t="shared" si="7"/>
        <v>0</v>
      </c>
      <c r="AK47" s="4">
        <f t="shared" si="8"/>
        <v>0</v>
      </c>
    </row>
    <row r="48" spans="1:37" x14ac:dyDescent="0.25">
      <c r="A48" s="2">
        <v>43</v>
      </c>
      <c r="B48" s="2">
        <f>Annual_Report!B44</f>
        <v>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4">
        <f t="shared" si="5"/>
        <v>0</v>
      </c>
      <c r="AI48" s="4">
        <f t="shared" si="6"/>
        <v>0</v>
      </c>
      <c r="AJ48" s="4">
        <f t="shared" si="7"/>
        <v>0</v>
      </c>
      <c r="AK48" s="4">
        <f t="shared" si="8"/>
        <v>0</v>
      </c>
    </row>
    <row r="49" spans="1:37" x14ac:dyDescent="0.25">
      <c r="A49" s="2">
        <v>44</v>
      </c>
      <c r="B49" s="2">
        <f>Annual_Report!B45</f>
        <v>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4">
        <f t="shared" si="5"/>
        <v>0</v>
      </c>
      <c r="AI49" s="4">
        <f t="shared" si="6"/>
        <v>0</v>
      </c>
      <c r="AJ49" s="4">
        <f t="shared" si="7"/>
        <v>0</v>
      </c>
      <c r="AK49" s="4">
        <f t="shared" si="8"/>
        <v>0</v>
      </c>
    </row>
    <row r="50" spans="1:37" x14ac:dyDescent="0.25">
      <c r="A50" s="2">
        <v>45</v>
      </c>
      <c r="B50" s="2">
        <f>Annual_Report!B46</f>
        <v>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4">
        <f t="shared" si="5"/>
        <v>0</v>
      </c>
      <c r="AI50" s="4">
        <f t="shared" si="6"/>
        <v>0</v>
      </c>
      <c r="AJ50" s="4">
        <f t="shared" si="7"/>
        <v>0</v>
      </c>
      <c r="AK50" s="4">
        <f t="shared" si="8"/>
        <v>0</v>
      </c>
    </row>
    <row r="51" spans="1:37" x14ac:dyDescent="0.25">
      <c r="A51" s="2">
        <v>46</v>
      </c>
      <c r="B51" s="2">
        <f>Annual_Report!B47</f>
        <v>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4">
        <f t="shared" si="5"/>
        <v>0</v>
      </c>
      <c r="AI51" s="4">
        <f t="shared" si="6"/>
        <v>0</v>
      </c>
      <c r="AJ51" s="4">
        <f t="shared" si="7"/>
        <v>0</v>
      </c>
      <c r="AK51" s="4">
        <f t="shared" si="8"/>
        <v>0</v>
      </c>
    </row>
    <row r="52" spans="1:37" x14ac:dyDescent="0.25">
      <c r="A52" s="2">
        <v>47</v>
      </c>
      <c r="B52" s="2">
        <f>Annual_Report!B48</f>
        <v>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4">
        <f t="shared" si="5"/>
        <v>0</v>
      </c>
      <c r="AI52" s="4">
        <f t="shared" si="6"/>
        <v>0</v>
      </c>
      <c r="AJ52" s="4">
        <f t="shared" si="7"/>
        <v>0</v>
      </c>
      <c r="AK52" s="4">
        <f t="shared" si="8"/>
        <v>0</v>
      </c>
    </row>
    <row r="53" spans="1:37" x14ac:dyDescent="0.25">
      <c r="A53" s="2">
        <v>48</v>
      </c>
      <c r="B53" s="2">
        <f>Annual_Report!B49</f>
        <v>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4">
        <f t="shared" si="5"/>
        <v>0</v>
      </c>
      <c r="AI53" s="4">
        <f t="shared" si="6"/>
        <v>0</v>
      </c>
      <c r="AJ53" s="4">
        <f t="shared" si="7"/>
        <v>0</v>
      </c>
      <c r="AK53" s="4">
        <f t="shared" si="8"/>
        <v>0</v>
      </c>
    </row>
    <row r="54" spans="1:37" x14ac:dyDescent="0.25">
      <c r="A54" s="2">
        <v>49</v>
      </c>
      <c r="B54" s="2">
        <f>Annual_Report!B50</f>
        <v>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4">
        <f t="shared" si="5"/>
        <v>0</v>
      </c>
      <c r="AI54" s="4">
        <f t="shared" si="6"/>
        <v>0</v>
      </c>
      <c r="AJ54" s="4">
        <f t="shared" si="7"/>
        <v>0</v>
      </c>
      <c r="AK54" s="4">
        <f t="shared" si="8"/>
        <v>0</v>
      </c>
    </row>
    <row r="55" spans="1:37" x14ac:dyDescent="0.25">
      <c r="A55" s="2">
        <v>50</v>
      </c>
      <c r="B55" s="2">
        <f>Annual_Report!B51</f>
        <v>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4">
        <f t="shared" si="5"/>
        <v>0</v>
      </c>
      <c r="AI55" s="4">
        <f t="shared" si="6"/>
        <v>0</v>
      </c>
      <c r="AJ55" s="4">
        <f t="shared" si="7"/>
        <v>0</v>
      </c>
      <c r="AK55" s="4">
        <f t="shared" si="8"/>
        <v>0</v>
      </c>
    </row>
    <row r="56" spans="1:37" x14ac:dyDescent="0.25">
      <c r="A56" s="2">
        <v>51</v>
      </c>
      <c r="B56" s="2">
        <f>Annual_Report!B52</f>
        <v>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4">
        <f t="shared" si="5"/>
        <v>0</v>
      </c>
      <c r="AI56" s="4">
        <f t="shared" si="6"/>
        <v>0</v>
      </c>
      <c r="AJ56" s="4">
        <f t="shared" si="7"/>
        <v>0</v>
      </c>
      <c r="AK56" s="4">
        <f t="shared" si="8"/>
        <v>0</v>
      </c>
    </row>
    <row r="57" spans="1:37" x14ac:dyDescent="0.25">
      <c r="A57" s="2">
        <v>52</v>
      </c>
      <c r="B57" s="2">
        <f>Annual_Report!B53</f>
        <v>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4">
        <f t="shared" si="5"/>
        <v>0</v>
      </c>
      <c r="AI57" s="4">
        <f t="shared" si="6"/>
        <v>0</v>
      </c>
      <c r="AJ57" s="4">
        <f t="shared" si="7"/>
        <v>0</v>
      </c>
      <c r="AK57" s="4">
        <f t="shared" si="8"/>
        <v>0</v>
      </c>
    </row>
    <row r="58" spans="1:37" x14ac:dyDescent="0.25">
      <c r="A58" s="2">
        <v>53</v>
      </c>
      <c r="B58" s="2">
        <f>Annual_Report!B54</f>
        <v>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4">
        <f t="shared" si="5"/>
        <v>0</v>
      </c>
      <c r="AI58" s="4">
        <f t="shared" si="6"/>
        <v>0</v>
      </c>
      <c r="AJ58" s="4">
        <f t="shared" si="7"/>
        <v>0</v>
      </c>
      <c r="AK58" s="4">
        <f t="shared" si="8"/>
        <v>0</v>
      </c>
    </row>
    <row r="59" spans="1:37" x14ac:dyDescent="0.25">
      <c r="A59" s="2">
        <v>54</v>
      </c>
      <c r="B59" s="2">
        <f>Annual_Report!B55</f>
        <v>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4">
        <f t="shared" si="5"/>
        <v>0</v>
      </c>
      <c r="AI59" s="4">
        <f t="shared" si="6"/>
        <v>0</v>
      </c>
      <c r="AJ59" s="4">
        <f t="shared" si="7"/>
        <v>0</v>
      </c>
      <c r="AK59" s="4">
        <f t="shared" si="8"/>
        <v>0</v>
      </c>
    </row>
    <row r="60" spans="1:37" x14ac:dyDescent="0.25">
      <c r="A60" s="2">
        <v>55</v>
      </c>
      <c r="B60" s="2">
        <f>Annual_Report!B56</f>
        <v>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4">
        <f t="shared" si="5"/>
        <v>0</v>
      </c>
      <c r="AI60" s="4">
        <f t="shared" si="6"/>
        <v>0</v>
      </c>
      <c r="AJ60" s="4">
        <f t="shared" si="7"/>
        <v>0</v>
      </c>
      <c r="AK60" s="4">
        <f t="shared" si="8"/>
        <v>0</v>
      </c>
    </row>
    <row r="61" spans="1:37" x14ac:dyDescent="0.25">
      <c r="A61" s="2">
        <v>56</v>
      </c>
      <c r="B61" s="2">
        <f>Annual_Report!B57</f>
        <v>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4">
        <f t="shared" si="5"/>
        <v>0</v>
      </c>
      <c r="AI61" s="4">
        <f t="shared" si="6"/>
        <v>0</v>
      </c>
      <c r="AJ61" s="4">
        <f t="shared" si="7"/>
        <v>0</v>
      </c>
      <c r="AK61" s="4">
        <f t="shared" si="8"/>
        <v>0</v>
      </c>
    </row>
    <row r="62" spans="1:37" x14ac:dyDescent="0.25">
      <c r="A62" s="2">
        <v>57</v>
      </c>
      <c r="B62" s="2">
        <f>Annual_Report!B58</f>
        <v>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4">
        <f t="shared" si="5"/>
        <v>0</v>
      </c>
      <c r="AI62" s="4">
        <f t="shared" si="6"/>
        <v>0</v>
      </c>
      <c r="AJ62" s="4">
        <f t="shared" si="7"/>
        <v>0</v>
      </c>
      <c r="AK62" s="4">
        <f t="shared" si="8"/>
        <v>0</v>
      </c>
    </row>
    <row r="63" spans="1:37" x14ac:dyDescent="0.25">
      <c r="A63" s="2">
        <v>58</v>
      </c>
      <c r="B63" s="2">
        <f>Annual_Report!B59</f>
        <v>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4">
        <f t="shared" si="5"/>
        <v>0</v>
      </c>
      <c r="AI63" s="4">
        <f t="shared" si="6"/>
        <v>0</v>
      </c>
      <c r="AJ63" s="4">
        <f t="shared" si="7"/>
        <v>0</v>
      </c>
      <c r="AK63" s="4">
        <f t="shared" si="8"/>
        <v>0</v>
      </c>
    </row>
    <row r="64" spans="1:37" x14ac:dyDescent="0.25">
      <c r="A64" s="2">
        <v>59</v>
      </c>
      <c r="B64" s="2">
        <f>Annual_Report!B60</f>
        <v>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4">
        <f t="shared" si="5"/>
        <v>0</v>
      </c>
      <c r="AI64" s="4">
        <f t="shared" si="6"/>
        <v>0</v>
      </c>
      <c r="AJ64" s="4">
        <f t="shared" si="7"/>
        <v>0</v>
      </c>
      <c r="AK64" s="4">
        <f t="shared" si="8"/>
        <v>0</v>
      </c>
    </row>
    <row r="65" spans="1:37" x14ac:dyDescent="0.25">
      <c r="A65" s="2">
        <v>60</v>
      </c>
      <c r="B65" s="2">
        <f>Annual_Report!B61</f>
        <v>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4">
        <f t="shared" si="5"/>
        <v>0</v>
      </c>
      <c r="AI65" s="4">
        <f t="shared" si="6"/>
        <v>0</v>
      </c>
      <c r="AJ65" s="4">
        <f t="shared" si="7"/>
        <v>0</v>
      </c>
      <c r="AK65" s="4">
        <f t="shared" si="8"/>
        <v>0</v>
      </c>
    </row>
    <row r="66" spans="1:37" x14ac:dyDescent="0.25">
      <c r="A66" s="2">
        <v>61</v>
      </c>
      <c r="B66" s="2">
        <f>Annual_Report!B62</f>
        <v>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4">
        <f t="shared" si="5"/>
        <v>0</v>
      </c>
      <c r="AI66" s="4">
        <f t="shared" si="6"/>
        <v>0</v>
      </c>
      <c r="AJ66" s="4">
        <f t="shared" si="7"/>
        <v>0</v>
      </c>
      <c r="AK66" s="4">
        <f t="shared" si="8"/>
        <v>0</v>
      </c>
    </row>
    <row r="67" spans="1:37" x14ac:dyDescent="0.25">
      <c r="A67" s="2">
        <v>62</v>
      </c>
      <c r="B67" s="2">
        <f>Annual_Report!B63</f>
        <v>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4">
        <f t="shared" si="5"/>
        <v>0</v>
      </c>
      <c r="AI67" s="4">
        <f t="shared" si="6"/>
        <v>0</v>
      </c>
      <c r="AJ67" s="4">
        <f t="shared" si="7"/>
        <v>0</v>
      </c>
      <c r="AK67" s="4">
        <f t="shared" si="8"/>
        <v>0</v>
      </c>
    </row>
    <row r="68" spans="1:37" x14ac:dyDescent="0.25">
      <c r="A68" s="2">
        <v>63</v>
      </c>
      <c r="B68" s="2">
        <f>Annual_Report!B64</f>
        <v>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4">
        <f t="shared" si="5"/>
        <v>0</v>
      </c>
      <c r="AI68" s="4">
        <f t="shared" si="6"/>
        <v>0</v>
      </c>
      <c r="AJ68" s="4">
        <f t="shared" si="7"/>
        <v>0</v>
      </c>
      <c r="AK68" s="4">
        <f t="shared" si="8"/>
        <v>0</v>
      </c>
    </row>
    <row r="69" spans="1:37" x14ac:dyDescent="0.25">
      <c r="A69" s="2">
        <v>64</v>
      </c>
      <c r="B69" s="2">
        <f>Annual_Report!B65</f>
        <v>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4">
        <f t="shared" si="5"/>
        <v>0</v>
      </c>
      <c r="AI69" s="4">
        <f t="shared" si="6"/>
        <v>0</v>
      </c>
      <c r="AJ69" s="4">
        <f t="shared" si="7"/>
        <v>0</v>
      </c>
      <c r="AK69" s="4">
        <f t="shared" si="8"/>
        <v>0</v>
      </c>
    </row>
    <row r="70" spans="1:37" x14ac:dyDescent="0.25">
      <c r="A70" s="2">
        <v>65</v>
      </c>
      <c r="B70" s="2">
        <f>Annual_Report!B66</f>
        <v>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4">
        <f t="shared" ref="AH70:AH105" si="9">COUNTIF($C70:$AG70, "ح")</f>
        <v>0</v>
      </c>
      <c r="AI70" s="4">
        <f t="shared" ref="AI70:AI105" si="10">COUNTIF($C70:$AG70, "غ")</f>
        <v>0</v>
      </c>
      <c r="AJ70" s="4">
        <f t="shared" ref="AJ70:AJ105" si="11">COUNTIF($C70:$AG70, "ج")</f>
        <v>0</v>
      </c>
      <c r="AK70" s="4">
        <f t="shared" ref="AK70:AK105" si="12">COUNTIF($C70:$AG70, "م")</f>
        <v>0</v>
      </c>
    </row>
    <row r="71" spans="1:37" x14ac:dyDescent="0.25">
      <c r="A71" s="2">
        <v>66</v>
      </c>
      <c r="B71" s="2">
        <f>Annual_Report!B67</f>
        <v>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4">
        <f t="shared" si="9"/>
        <v>0</v>
      </c>
      <c r="AI71" s="4">
        <f t="shared" si="10"/>
        <v>0</v>
      </c>
      <c r="AJ71" s="4">
        <f t="shared" si="11"/>
        <v>0</v>
      </c>
      <c r="AK71" s="4">
        <f t="shared" si="12"/>
        <v>0</v>
      </c>
    </row>
    <row r="72" spans="1:37" x14ac:dyDescent="0.25">
      <c r="A72" s="2">
        <v>67</v>
      </c>
      <c r="B72" s="2">
        <f>Annual_Report!B68</f>
        <v>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4">
        <f t="shared" si="9"/>
        <v>0</v>
      </c>
      <c r="AI72" s="4">
        <f t="shared" si="10"/>
        <v>0</v>
      </c>
      <c r="AJ72" s="4">
        <f t="shared" si="11"/>
        <v>0</v>
      </c>
      <c r="AK72" s="4">
        <f t="shared" si="12"/>
        <v>0</v>
      </c>
    </row>
    <row r="73" spans="1:37" x14ac:dyDescent="0.25">
      <c r="A73" s="2">
        <v>68</v>
      </c>
      <c r="B73" s="2">
        <f>Annual_Report!B69</f>
        <v>0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4">
        <f t="shared" si="9"/>
        <v>0</v>
      </c>
      <c r="AI73" s="4">
        <f t="shared" si="10"/>
        <v>0</v>
      </c>
      <c r="AJ73" s="4">
        <f t="shared" si="11"/>
        <v>0</v>
      </c>
      <c r="AK73" s="4">
        <f t="shared" si="12"/>
        <v>0</v>
      </c>
    </row>
    <row r="74" spans="1:37" x14ac:dyDescent="0.25">
      <c r="A74" s="2">
        <v>69</v>
      </c>
      <c r="B74" s="2">
        <f>Annual_Report!B70</f>
        <v>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4">
        <f t="shared" si="9"/>
        <v>0</v>
      </c>
      <c r="AI74" s="4">
        <f t="shared" si="10"/>
        <v>0</v>
      </c>
      <c r="AJ74" s="4">
        <f t="shared" si="11"/>
        <v>0</v>
      </c>
      <c r="AK74" s="4">
        <f t="shared" si="12"/>
        <v>0</v>
      </c>
    </row>
    <row r="75" spans="1:37" x14ac:dyDescent="0.25">
      <c r="A75" s="2">
        <v>70</v>
      </c>
      <c r="B75" s="2">
        <f>Annual_Report!B71</f>
        <v>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4">
        <f t="shared" si="9"/>
        <v>0</v>
      </c>
      <c r="AI75" s="4">
        <f t="shared" si="10"/>
        <v>0</v>
      </c>
      <c r="AJ75" s="4">
        <f t="shared" si="11"/>
        <v>0</v>
      </c>
      <c r="AK75" s="4">
        <f t="shared" si="12"/>
        <v>0</v>
      </c>
    </row>
    <row r="76" spans="1:37" x14ac:dyDescent="0.25">
      <c r="A76" s="2">
        <v>71</v>
      </c>
      <c r="B76" s="2">
        <f>Annual_Report!B72</f>
        <v>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4">
        <f t="shared" si="9"/>
        <v>0</v>
      </c>
      <c r="AI76" s="4">
        <f t="shared" si="10"/>
        <v>0</v>
      </c>
      <c r="AJ76" s="4">
        <f t="shared" si="11"/>
        <v>0</v>
      </c>
      <c r="AK76" s="4">
        <f t="shared" si="12"/>
        <v>0</v>
      </c>
    </row>
    <row r="77" spans="1:37" x14ac:dyDescent="0.25">
      <c r="A77" s="2">
        <v>72</v>
      </c>
      <c r="B77" s="2">
        <f>Annual_Report!B73</f>
        <v>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4">
        <f t="shared" si="9"/>
        <v>0</v>
      </c>
      <c r="AI77" s="4">
        <f t="shared" si="10"/>
        <v>0</v>
      </c>
      <c r="AJ77" s="4">
        <f t="shared" si="11"/>
        <v>0</v>
      </c>
      <c r="AK77" s="4">
        <f t="shared" si="12"/>
        <v>0</v>
      </c>
    </row>
    <row r="78" spans="1:37" x14ac:dyDescent="0.25">
      <c r="A78" s="2">
        <v>73</v>
      </c>
      <c r="B78" s="2">
        <f>Annual_Report!B74</f>
        <v>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4">
        <f t="shared" si="9"/>
        <v>0</v>
      </c>
      <c r="AI78" s="4">
        <f t="shared" si="10"/>
        <v>0</v>
      </c>
      <c r="AJ78" s="4">
        <f t="shared" si="11"/>
        <v>0</v>
      </c>
      <c r="AK78" s="4">
        <f t="shared" si="12"/>
        <v>0</v>
      </c>
    </row>
    <row r="79" spans="1:37" x14ac:dyDescent="0.25">
      <c r="A79" s="2">
        <v>74</v>
      </c>
      <c r="B79" s="2">
        <f>Annual_Report!B75</f>
        <v>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4">
        <f t="shared" si="9"/>
        <v>0</v>
      </c>
      <c r="AI79" s="4">
        <f t="shared" si="10"/>
        <v>0</v>
      </c>
      <c r="AJ79" s="4">
        <f t="shared" si="11"/>
        <v>0</v>
      </c>
      <c r="AK79" s="4">
        <f t="shared" si="12"/>
        <v>0</v>
      </c>
    </row>
    <row r="80" spans="1:37" x14ac:dyDescent="0.25">
      <c r="A80" s="2">
        <v>75</v>
      </c>
      <c r="B80" s="2">
        <f>Annual_Report!B76</f>
        <v>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4">
        <f t="shared" si="9"/>
        <v>0</v>
      </c>
      <c r="AI80" s="4">
        <f t="shared" si="10"/>
        <v>0</v>
      </c>
      <c r="AJ80" s="4">
        <f t="shared" si="11"/>
        <v>0</v>
      </c>
      <c r="AK80" s="4">
        <f t="shared" si="12"/>
        <v>0</v>
      </c>
    </row>
    <row r="81" spans="1:37" x14ac:dyDescent="0.25">
      <c r="A81" s="2">
        <v>76</v>
      </c>
      <c r="B81" s="2">
        <f>Annual_Report!B77</f>
        <v>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4">
        <f t="shared" si="9"/>
        <v>0</v>
      </c>
      <c r="AI81" s="4">
        <f t="shared" si="10"/>
        <v>0</v>
      </c>
      <c r="AJ81" s="4">
        <f t="shared" si="11"/>
        <v>0</v>
      </c>
      <c r="AK81" s="4">
        <f t="shared" si="12"/>
        <v>0</v>
      </c>
    </row>
    <row r="82" spans="1:37" x14ac:dyDescent="0.25">
      <c r="A82" s="2">
        <v>77</v>
      </c>
      <c r="B82" s="2">
        <f>Annual_Report!B78</f>
        <v>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4">
        <f t="shared" si="9"/>
        <v>0</v>
      </c>
      <c r="AI82" s="4">
        <f t="shared" si="10"/>
        <v>0</v>
      </c>
      <c r="AJ82" s="4">
        <f t="shared" si="11"/>
        <v>0</v>
      </c>
      <c r="AK82" s="4">
        <f t="shared" si="12"/>
        <v>0</v>
      </c>
    </row>
    <row r="83" spans="1:37" x14ac:dyDescent="0.25">
      <c r="A83" s="2">
        <v>78</v>
      </c>
      <c r="B83" s="2">
        <f>Annual_Report!B79</f>
        <v>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4">
        <f t="shared" si="9"/>
        <v>0</v>
      </c>
      <c r="AI83" s="4">
        <f t="shared" si="10"/>
        <v>0</v>
      </c>
      <c r="AJ83" s="4">
        <f t="shared" si="11"/>
        <v>0</v>
      </c>
      <c r="AK83" s="4">
        <f t="shared" si="12"/>
        <v>0</v>
      </c>
    </row>
    <row r="84" spans="1:37" x14ac:dyDescent="0.25">
      <c r="A84" s="2">
        <v>79</v>
      </c>
      <c r="B84" s="2">
        <f>Annual_Report!B80</f>
        <v>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4">
        <f t="shared" si="9"/>
        <v>0</v>
      </c>
      <c r="AI84" s="4">
        <f t="shared" si="10"/>
        <v>0</v>
      </c>
      <c r="AJ84" s="4">
        <f t="shared" si="11"/>
        <v>0</v>
      </c>
      <c r="AK84" s="4">
        <f t="shared" si="12"/>
        <v>0</v>
      </c>
    </row>
    <row r="85" spans="1:37" x14ac:dyDescent="0.25">
      <c r="A85" s="2">
        <v>80</v>
      </c>
      <c r="B85" s="2">
        <f>Annual_Report!B81</f>
        <v>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4">
        <f t="shared" si="9"/>
        <v>0</v>
      </c>
      <c r="AI85" s="4">
        <f t="shared" si="10"/>
        <v>0</v>
      </c>
      <c r="AJ85" s="4">
        <f t="shared" si="11"/>
        <v>0</v>
      </c>
      <c r="AK85" s="4">
        <f t="shared" si="12"/>
        <v>0</v>
      </c>
    </row>
    <row r="86" spans="1:37" x14ac:dyDescent="0.25">
      <c r="A86" s="2">
        <v>81</v>
      </c>
      <c r="B86" s="2">
        <f>Annual_Report!B82</f>
        <v>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4">
        <f t="shared" si="9"/>
        <v>0</v>
      </c>
      <c r="AI86" s="4">
        <f t="shared" si="10"/>
        <v>0</v>
      </c>
      <c r="AJ86" s="4">
        <f t="shared" si="11"/>
        <v>0</v>
      </c>
      <c r="AK86" s="4">
        <f t="shared" si="12"/>
        <v>0</v>
      </c>
    </row>
    <row r="87" spans="1:37" x14ac:dyDescent="0.25">
      <c r="A87" s="2">
        <v>82</v>
      </c>
      <c r="B87" s="2">
        <f>Annual_Report!B83</f>
        <v>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4">
        <f t="shared" si="9"/>
        <v>0</v>
      </c>
      <c r="AI87" s="4">
        <f t="shared" si="10"/>
        <v>0</v>
      </c>
      <c r="AJ87" s="4">
        <f t="shared" si="11"/>
        <v>0</v>
      </c>
      <c r="AK87" s="4">
        <f t="shared" si="12"/>
        <v>0</v>
      </c>
    </row>
    <row r="88" spans="1:37" x14ac:dyDescent="0.25">
      <c r="A88" s="2">
        <v>83</v>
      </c>
      <c r="B88" s="2">
        <f>Annual_Report!B84</f>
        <v>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4">
        <f t="shared" si="9"/>
        <v>0</v>
      </c>
      <c r="AI88" s="4">
        <f t="shared" si="10"/>
        <v>0</v>
      </c>
      <c r="AJ88" s="4">
        <f t="shared" si="11"/>
        <v>0</v>
      </c>
      <c r="AK88" s="4">
        <f t="shared" si="12"/>
        <v>0</v>
      </c>
    </row>
    <row r="89" spans="1:37" x14ac:dyDescent="0.25">
      <c r="A89" s="2">
        <v>84</v>
      </c>
      <c r="B89" s="2">
        <f>Annual_Report!B85</f>
        <v>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4">
        <f t="shared" si="9"/>
        <v>0</v>
      </c>
      <c r="AI89" s="4">
        <f t="shared" si="10"/>
        <v>0</v>
      </c>
      <c r="AJ89" s="4">
        <f t="shared" si="11"/>
        <v>0</v>
      </c>
      <c r="AK89" s="4">
        <f t="shared" si="12"/>
        <v>0</v>
      </c>
    </row>
    <row r="90" spans="1:37" x14ac:dyDescent="0.25">
      <c r="A90" s="2">
        <v>85</v>
      </c>
      <c r="B90" s="2">
        <f>Annual_Report!B86</f>
        <v>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4">
        <f t="shared" si="9"/>
        <v>0</v>
      </c>
      <c r="AI90" s="4">
        <f t="shared" si="10"/>
        <v>0</v>
      </c>
      <c r="AJ90" s="4">
        <f t="shared" si="11"/>
        <v>0</v>
      </c>
      <c r="AK90" s="4">
        <f t="shared" si="12"/>
        <v>0</v>
      </c>
    </row>
    <row r="91" spans="1:37" x14ac:dyDescent="0.25">
      <c r="A91" s="2">
        <v>86</v>
      </c>
      <c r="B91" s="2">
        <f>Annual_Report!B87</f>
        <v>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4">
        <f t="shared" si="9"/>
        <v>0</v>
      </c>
      <c r="AI91" s="4">
        <f t="shared" si="10"/>
        <v>0</v>
      </c>
      <c r="AJ91" s="4">
        <f t="shared" si="11"/>
        <v>0</v>
      </c>
      <c r="AK91" s="4">
        <f t="shared" si="12"/>
        <v>0</v>
      </c>
    </row>
    <row r="92" spans="1:37" x14ac:dyDescent="0.25">
      <c r="A92" s="2">
        <v>87</v>
      </c>
      <c r="B92" s="2">
        <f>Annual_Report!B88</f>
        <v>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4">
        <f t="shared" si="9"/>
        <v>0</v>
      </c>
      <c r="AI92" s="4">
        <f t="shared" si="10"/>
        <v>0</v>
      </c>
      <c r="AJ92" s="4">
        <f t="shared" si="11"/>
        <v>0</v>
      </c>
      <c r="AK92" s="4">
        <f t="shared" si="12"/>
        <v>0</v>
      </c>
    </row>
    <row r="93" spans="1:37" x14ac:dyDescent="0.25">
      <c r="A93" s="2">
        <v>88</v>
      </c>
      <c r="B93" s="2">
        <f>Annual_Report!B89</f>
        <v>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4">
        <f t="shared" si="9"/>
        <v>0</v>
      </c>
      <c r="AI93" s="4">
        <f t="shared" si="10"/>
        <v>0</v>
      </c>
      <c r="AJ93" s="4">
        <f t="shared" si="11"/>
        <v>0</v>
      </c>
      <c r="AK93" s="4">
        <f t="shared" si="12"/>
        <v>0</v>
      </c>
    </row>
    <row r="94" spans="1:37" x14ac:dyDescent="0.25">
      <c r="A94" s="2">
        <v>89</v>
      </c>
      <c r="B94" s="2">
        <f>Annual_Report!B90</f>
        <v>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4">
        <f t="shared" si="9"/>
        <v>0</v>
      </c>
      <c r="AI94" s="4">
        <f t="shared" si="10"/>
        <v>0</v>
      </c>
      <c r="AJ94" s="4">
        <f t="shared" si="11"/>
        <v>0</v>
      </c>
      <c r="AK94" s="4">
        <f t="shared" si="12"/>
        <v>0</v>
      </c>
    </row>
    <row r="95" spans="1:37" x14ac:dyDescent="0.25">
      <c r="A95" s="2">
        <v>90</v>
      </c>
      <c r="B95" s="2">
        <f>Annual_Report!B91</f>
        <v>0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4">
        <f t="shared" si="9"/>
        <v>0</v>
      </c>
      <c r="AI95" s="4">
        <f t="shared" si="10"/>
        <v>0</v>
      </c>
      <c r="AJ95" s="4">
        <f t="shared" si="11"/>
        <v>0</v>
      </c>
      <c r="AK95" s="4">
        <f t="shared" si="12"/>
        <v>0</v>
      </c>
    </row>
    <row r="96" spans="1:37" x14ac:dyDescent="0.25">
      <c r="A96" s="2">
        <v>91</v>
      </c>
      <c r="B96" s="2">
        <f>Annual_Report!B92</f>
        <v>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4">
        <f t="shared" si="9"/>
        <v>0</v>
      </c>
      <c r="AI96" s="4">
        <f t="shared" si="10"/>
        <v>0</v>
      </c>
      <c r="AJ96" s="4">
        <f t="shared" si="11"/>
        <v>0</v>
      </c>
      <c r="AK96" s="4">
        <f t="shared" si="12"/>
        <v>0</v>
      </c>
    </row>
    <row r="97" spans="1:37" x14ac:dyDescent="0.25">
      <c r="A97" s="2">
        <v>92</v>
      </c>
      <c r="B97" s="2">
        <f>Annual_Report!B93</f>
        <v>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4">
        <f t="shared" si="9"/>
        <v>0</v>
      </c>
      <c r="AI97" s="4">
        <f t="shared" si="10"/>
        <v>0</v>
      </c>
      <c r="AJ97" s="4">
        <f t="shared" si="11"/>
        <v>0</v>
      </c>
      <c r="AK97" s="4">
        <f t="shared" si="12"/>
        <v>0</v>
      </c>
    </row>
    <row r="98" spans="1:37" x14ac:dyDescent="0.25">
      <c r="A98" s="2">
        <v>93</v>
      </c>
      <c r="B98" s="2">
        <f>Annual_Report!B94</f>
        <v>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4">
        <f t="shared" si="9"/>
        <v>0</v>
      </c>
      <c r="AI98" s="4">
        <f t="shared" si="10"/>
        <v>0</v>
      </c>
      <c r="AJ98" s="4">
        <f t="shared" si="11"/>
        <v>0</v>
      </c>
      <c r="AK98" s="4">
        <f t="shared" si="12"/>
        <v>0</v>
      </c>
    </row>
    <row r="99" spans="1:37" x14ac:dyDescent="0.25">
      <c r="A99" s="2">
        <v>94</v>
      </c>
      <c r="B99" s="2">
        <f>Annual_Report!B95</f>
        <v>0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4">
        <f t="shared" si="9"/>
        <v>0</v>
      </c>
      <c r="AI99" s="4">
        <f t="shared" si="10"/>
        <v>0</v>
      </c>
      <c r="AJ99" s="4">
        <f t="shared" si="11"/>
        <v>0</v>
      </c>
      <c r="AK99" s="4">
        <f t="shared" si="12"/>
        <v>0</v>
      </c>
    </row>
    <row r="100" spans="1:37" x14ac:dyDescent="0.25">
      <c r="A100" s="2">
        <v>95</v>
      </c>
      <c r="B100" s="2">
        <f>Annual_Report!B96</f>
        <v>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4">
        <f t="shared" si="9"/>
        <v>0</v>
      </c>
      <c r="AI100" s="4">
        <f t="shared" si="10"/>
        <v>0</v>
      </c>
      <c r="AJ100" s="4">
        <f t="shared" si="11"/>
        <v>0</v>
      </c>
      <c r="AK100" s="4">
        <f t="shared" si="12"/>
        <v>0</v>
      </c>
    </row>
    <row r="101" spans="1:37" x14ac:dyDescent="0.25">
      <c r="A101" s="2">
        <v>96</v>
      </c>
      <c r="B101" s="2">
        <f>Annual_Report!B97</f>
        <v>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4">
        <f t="shared" si="9"/>
        <v>0</v>
      </c>
      <c r="AI101" s="4">
        <f t="shared" si="10"/>
        <v>0</v>
      </c>
      <c r="AJ101" s="4">
        <f t="shared" si="11"/>
        <v>0</v>
      </c>
      <c r="AK101" s="4">
        <f t="shared" si="12"/>
        <v>0</v>
      </c>
    </row>
    <row r="102" spans="1:37" x14ac:dyDescent="0.25">
      <c r="A102" s="2">
        <v>97</v>
      </c>
      <c r="B102" s="2">
        <f>Annual_Report!B98</f>
        <v>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4">
        <f t="shared" si="9"/>
        <v>0</v>
      </c>
      <c r="AI102" s="4">
        <f t="shared" si="10"/>
        <v>0</v>
      </c>
      <c r="AJ102" s="4">
        <f t="shared" si="11"/>
        <v>0</v>
      </c>
      <c r="AK102" s="4">
        <f t="shared" si="12"/>
        <v>0</v>
      </c>
    </row>
    <row r="103" spans="1:37" x14ac:dyDescent="0.25">
      <c r="A103" s="2">
        <v>98</v>
      </c>
      <c r="B103" s="2">
        <f>Annual_Report!B99</f>
        <v>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4">
        <f t="shared" si="9"/>
        <v>0</v>
      </c>
      <c r="AI103" s="4">
        <f t="shared" si="10"/>
        <v>0</v>
      </c>
      <c r="AJ103" s="4">
        <f t="shared" si="11"/>
        <v>0</v>
      </c>
      <c r="AK103" s="4">
        <f t="shared" si="12"/>
        <v>0</v>
      </c>
    </row>
    <row r="104" spans="1:37" x14ac:dyDescent="0.25">
      <c r="A104" s="2">
        <v>99</v>
      </c>
      <c r="B104" s="2">
        <f>Annual_Report!B100</f>
        <v>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4">
        <f t="shared" si="9"/>
        <v>0</v>
      </c>
      <c r="AI104" s="4">
        <f t="shared" si="10"/>
        <v>0</v>
      </c>
      <c r="AJ104" s="4">
        <f t="shared" si="11"/>
        <v>0</v>
      </c>
      <c r="AK104" s="4">
        <f t="shared" si="12"/>
        <v>0</v>
      </c>
    </row>
    <row r="105" spans="1:37" x14ac:dyDescent="0.25">
      <c r="A105" s="2">
        <v>100</v>
      </c>
      <c r="B105" s="2">
        <f>Annual_Report!B101</f>
        <v>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4">
        <f t="shared" si="9"/>
        <v>0</v>
      </c>
      <c r="AI105" s="4">
        <f t="shared" si="10"/>
        <v>0</v>
      </c>
      <c r="AJ105" s="4">
        <f t="shared" si="11"/>
        <v>0</v>
      </c>
      <c r="AK105" s="4">
        <f t="shared" si="12"/>
        <v>0</v>
      </c>
    </row>
  </sheetData>
  <conditionalFormatting sqref="C6:AG105">
    <cfRule type="cellIs" dxfId="47" priority="1" stopIfTrue="1" operator="equal">
      <formula>"ح"</formula>
    </cfRule>
    <cfRule type="cellIs" dxfId="46" priority="2" stopIfTrue="1" operator="equal">
      <formula>"غ"</formula>
    </cfRule>
    <cfRule type="cellIs" dxfId="45" priority="3" stopIfTrue="1" operator="equal">
      <formula>"ج"</formula>
    </cfRule>
    <cfRule type="cellIs" dxfId="44" priority="4" stopIfTrue="1" operator="equal">
      <formula>"م"</formula>
    </cfRule>
    <cfRule type="cellIs" dxfId="43" priority="5" stopIfTrue="1" operator="equal">
      <formula>"ج"</formula>
    </cfRule>
    <cfRule type="cellIs" dxfId="42" priority="6" stopIfTrue="1" operator="equal">
      <formula>"م"</formula>
    </cfRule>
  </conditionalFormatting>
  <dataValidations count="1">
    <dataValidation type="list" allowBlank="1" showErrorMessage="1" errorTitle="خطأ في الإدخال" error="يرجى استخدام الحروف الصحيحة: ح - غ - ج - م" sqref="C6:AG105" xr:uid="{21BD87FA-3524-4F02-8FDA-A26A5B79C426}">
      <formula1>"ح,غ,ج,م"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55FE2-61F8-4AAB-B381-A51189C96C13}">
  <sheetPr codeName="Sheet86"/>
  <dimension ref="A1:AK105"/>
  <sheetViews>
    <sheetView rightToLeft="1" workbookViewId="0"/>
  </sheetViews>
  <sheetFormatPr defaultRowHeight="15" x14ac:dyDescent="0.25"/>
  <cols>
    <col min="1" max="1" width="4.7109375" customWidth="1"/>
    <col min="2" max="2" width="25.7109375" customWidth="1"/>
    <col min="3" max="33" width="4.7109375" customWidth="1"/>
    <col min="34" max="34" width="5.85546875" bestFit="1" customWidth="1"/>
    <col min="35" max="35" width="4.7109375" bestFit="1" customWidth="1"/>
    <col min="36" max="36" width="4.5703125" bestFit="1" customWidth="1"/>
    <col min="37" max="37" width="6" bestFit="1" customWidth="1"/>
  </cols>
  <sheetData>
    <row r="1" spans="1:37" x14ac:dyDescent="0.25">
      <c r="A1" s="6"/>
      <c r="B1" s="6"/>
      <c r="C1" s="5" t="s">
        <v>9</v>
      </c>
      <c r="D1" s="5" t="s">
        <v>0</v>
      </c>
      <c r="E1" s="5" t="s">
        <v>1</v>
      </c>
      <c r="F1" s="5" t="s">
        <v>10</v>
      </c>
      <c r="G1" s="5" t="s">
        <v>11</v>
      </c>
    </row>
    <row r="2" spans="1:37" x14ac:dyDescent="0.25">
      <c r="A2" s="6"/>
      <c r="B2" s="6"/>
      <c r="C2" s="5" t="s">
        <v>12</v>
      </c>
      <c r="D2" s="5" t="s">
        <v>6</v>
      </c>
      <c r="E2" s="5" t="s">
        <v>7</v>
      </c>
      <c r="F2" s="5" t="s">
        <v>8</v>
      </c>
      <c r="G2" s="5" t="s">
        <v>2</v>
      </c>
    </row>
    <row r="4" spans="1:37" ht="65.099999999999994" customHeight="1" x14ac:dyDescent="0.25">
      <c r="A4" s="2" t="s">
        <v>2</v>
      </c>
      <c r="B4" s="2" t="s">
        <v>3</v>
      </c>
      <c r="C4" s="1" t="str">
        <f>CHOOSE(WEEKDAY(C5), "الأحد","الاثنين","الثلاثاء","الأربعاء","الخميس","الجمعة","السبت")</f>
        <v>الاثنين</v>
      </c>
      <c r="D4" s="1" t="str">
        <f t="shared" ref="D4:AG4" si="0">CHOOSE(WEEKDAY(D5), "الأحد","الاثنين","الثلاثاء","الأربعاء","الخميس","الجمعة","السبت")</f>
        <v>الثلاثاء</v>
      </c>
      <c r="E4" s="1" t="str">
        <f t="shared" si="0"/>
        <v>الأربعاء</v>
      </c>
      <c r="F4" s="1" t="str">
        <f t="shared" si="0"/>
        <v>الخميس</v>
      </c>
      <c r="G4" s="1" t="str">
        <f t="shared" si="0"/>
        <v>الجمعة</v>
      </c>
      <c r="H4" s="1" t="str">
        <f t="shared" si="0"/>
        <v>السبت</v>
      </c>
      <c r="I4" s="1" t="str">
        <f t="shared" si="0"/>
        <v>الأحد</v>
      </c>
      <c r="J4" s="1" t="str">
        <f t="shared" si="0"/>
        <v>الاثنين</v>
      </c>
      <c r="K4" s="1" t="str">
        <f t="shared" si="0"/>
        <v>الثلاثاء</v>
      </c>
      <c r="L4" s="1" t="str">
        <f t="shared" si="0"/>
        <v>الأربعاء</v>
      </c>
      <c r="M4" s="1" t="str">
        <f t="shared" si="0"/>
        <v>الخميس</v>
      </c>
      <c r="N4" s="1" t="str">
        <f t="shared" si="0"/>
        <v>الجمعة</v>
      </c>
      <c r="O4" s="1" t="str">
        <f t="shared" si="0"/>
        <v>السبت</v>
      </c>
      <c r="P4" s="1" t="str">
        <f t="shared" si="0"/>
        <v>الأحد</v>
      </c>
      <c r="Q4" s="1" t="str">
        <f t="shared" si="0"/>
        <v>الاثنين</v>
      </c>
      <c r="R4" s="1" t="str">
        <f t="shared" si="0"/>
        <v>الثلاثاء</v>
      </c>
      <c r="S4" s="1" t="str">
        <f t="shared" si="0"/>
        <v>الأربعاء</v>
      </c>
      <c r="T4" s="1" t="str">
        <f t="shared" si="0"/>
        <v>الخميس</v>
      </c>
      <c r="U4" s="1" t="str">
        <f t="shared" si="0"/>
        <v>الجمعة</v>
      </c>
      <c r="V4" s="1" t="str">
        <f t="shared" si="0"/>
        <v>السبت</v>
      </c>
      <c r="W4" s="1" t="str">
        <f t="shared" si="0"/>
        <v>الأحد</v>
      </c>
      <c r="X4" s="1" t="str">
        <f t="shared" si="0"/>
        <v>الاثنين</v>
      </c>
      <c r="Y4" s="1" t="str">
        <f t="shared" si="0"/>
        <v>الثلاثاء</v>
      </c>
      <c r="Z4" s="1" t="str">
        <f t="shared" si="0"/>
        <v>الأربعاء</v>
      </c>
      <c r="AA4" s="1" t="str">
        <f t="shared" si="0"/>
        <v>الخميس</v>
      </c>
      <c r="AB4" s="1" t="str">
        <f t="shared" si="0"/>
        <v>الجمعة</v>
      </c>
      <c r="AC4" s="1" t="str">
        <f t="shared" si="0"/>
        <v>السبت</v>
      </c>
      <c r="AD4" s="1" t="str">
        <f t="shared" si="0"/>
        <v>الأحد</v>
      </c>
      <c r="AE4" s="1" t="str">
        <f t="shared" si="0"/>
        <v>الاثنين</v>
      </c>
      <c r="AF4" s="1" t="str">
        <f t="shared" si="0"/>
        <v>الثلاثاء</v>
      </c>
      <c r="AG4" s="1" t="str">
        <f t="shared" si="0"/>
        <v>السبت</v>
      </c>
      <c r="AH4" s="9" t="s">
        <v>0</v>
      </c>
      <c r="AI4" s="9" t="s">
        <v>1</v>
      </c>
      <c r="AJ4" s="9" t="s">
        <v>10</v>
      </c>
      <c r="AK4" s="9" t="s">
        <v>11</v>
      </c>
    </row>
    <row r="5" spans="1:37" x14ac:dyDescent="0.25">
      <c r="A5" s="2"/>
      <c r="B5" s="2"/>
      <c r="C5" s="3" cm="1">
        <f t="array" ref="C5:AF5">_xlfn.SEQUENCE(1, DAY(EOMONTH(DATE(2026,6,1),0)), DATE(2026,6,1))</f>
        <v>46174</v>
      </c>
      <c r="D5" s="3">
        <v>46175</v>
      </c>
      <c r="E5" s="3">
        <v>46176</v>
      </c>
      <c r="F5" s="3">
        <v>46177</v>
      </c>
      <c r="G5" s="3">
        <v>46178</v>
      </c>
      <c r="H5" s="3">
        <v>46179</v>
      </c>
      <c r="I5" s="3">
        <v>46180</v>
      </c>
      <c r="J5" s="3">
        <v>46181</v>
      </c>
      <c r="K5" s="3">
        <v>46182</v>
      </c>
      <c r="L5" s="3">
        <v>46183</v>
      </c>
      <c r="M5" s="3">
        <v>46184</v>
      </c>
      <c r="N5" s="3">
        <v>46185</v>
      </c>
      <c r="O5" s="3">
        <v>46186</v>
      </c>
      <c r="P5" s="3">
        <v>46187</v>
      </c>
      <c r="Q5" s="3">
        <v>46188</v>
      </c>
      <c r="R5" s="3">
        <v>46189</v>
      </c>
      <c r="S5" s="3">
        <v>46190</v>
      </c>
      <c r="T5" s="3">
        <v>46191</v>
      </c>
      <c r="U5" s="3">
        <v>46192</v>
      </c>
      <c r="V5" s="3">
        <v>46193</v>
      </c>
      <c r="W5" s="3">
        <v>46194</v>
      </c>
      <c r="X5" s="3">
        <v>46195</v>
      </c>
      <c r="Y5" s="3">
        <v>46196</v>
      </c>
      <c r="Z5" s="3">
        <v>46197</v>
      </c>
      <c r="AA5" s="3">
        <v>46198</v>
      </c>
      <c r="AB5" s="3">
        <v>46199</v>
      </c>
      <c r="AC5" s="3">
        <v>46200</v>
      </c>
      <c r="AD5" s="3">
        <v>46201</v>
      </c>
      <c r="AE5" s="3">
        <v>46202</v>
      </c>
      <c r="AF5" s="3">
        <v>46203</v>
      </c>
      <c r="AG5" s="3"/>
      <c r="AH5" s="4"/>
      <c r="AI5" s="4"/>
      <c r="AJ5" s="4"/>
      <c r="AK5" s="4"/>
    </row>
    <row r="6" spans="1:37" x14ac:dyDescent="0.25">
      <c r="A6" s="2">
        <v>1</v>
      </c>
      <c r="B6" s="2">
        <f>Annual_Report!B2</f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4">
        <f t="shared" ref="AH6:AH37" si="1">COUNTIF($C6:$AG6, "ح")</f>
        <v>0</v>
      </c>
      <c r="AI6" s="4">
        <f t="shared" ref="AI6:AI37" si="2">COUNTIF($C6:$AG6, "غ")</f>
        <v>0</v>
      </c>
      <c r="AJ6" s="4">
        <f t="shared" ref="AJ6:AJ37" si="3">COUNTIF($C6:$AG6, "ج")</f>
        <v>0</v>
      </c>
      <c r="AK6" s="4">
        <f t="shared" ref="AK6:AK37" si="4">COUNTIF($C6:$AG6, "م")</f>
        <v>0</v>
      </c>
    </row>
    <row r="7" spans="1:37" x14ac:dyDescent="0.25">
      <c r="A7" s="2">
        <v>2</v>
      </c>
      <c r="B7" s="2">
        <f>Annual_Report!B3</f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4">
        <f t="shared" si="1"/>
        <v>0</v>
      </c>
      <c r="AI7" s="4">
        <f t="shared" si="2"/>
        <v>0</v>
      </c>
      <c r="AJ7" s="4">
        <f t="shared" si="3"/>
        <v>0</v>
      </c>
      <c r="AK7" s="4">
        <f t="shared" si="4"/>
        <v>0</v>
      </c>
    </row>
    <row r="8" spans="1:37" x14ac:dyDescent="0.25">
      <c r="A8" s="2">
        <v>3</v>
      </c>
      <c r="B8" s="2">
        <f>Annual_Report!B4</f>
        <v>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4">
        <f t="shared" si="1"/>
        <v>0</v>
      </c>
      <c r="AI8" s="4">
        <f t="shared" si="2"/>
        <v>0</v>
      </c>
      <c r="AJ8" s="4">
        <f t="shared" si="3"/>
        <v>0</v>
      </c>
      <c r="AK8" s="4">
        <f t="shared" si="4"/>
        <v>0</v>
      </c>
    </row>
    <row r="9" spans="1:37" x14ac:dyDescent="0.25">
      <c r="A9" s="2">
        <v>4</v>
      </c>
      <c r="B9" s="2">
        <f>Annual_Report!B5</f>
        <v>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4">
        <f t="shared" si="1"/>
        <v>0</v>
      </c>
      <c r="AI9" s="4">
        <f t="shared" si="2"/>
        <v>0</v>
      </c>
      <c r="AJ9" s="4">
        <f t="shared" si="3"/>
        <v>0</v>
      </c>
      <c r="AK9" s="4">
        <f t="shared" si="4"/>
        <v>0</v>
      </c>
    </row>
    <row r="10" spans="1:37" x14ac:dyDescent="0.25">
      <c r="A10" s="2">
        <v>5</v>
      </c>
      <c r="B10" s="2">
        <f>Annual_Report!B6</f>
        <v>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4">
        <f t="shared" si="1"/>
        <v>0</v>
      </c>
      <c r="AI10" s="4">
        <f t="shared" si="2"/>
        <v>0</v>
      </c>
      <c r="AJ10" s="4">
        <f t="shared" si="3"/>
        <v>0</v>
      </c>
      <c r="AK10" s="4">
        <f t="shared" si="4"/>
        <v>0</v>
      </c>
    </row>
    <row r="11" spans="1:37" x14ac:dyDescent="0.25">
      <c r="A11" s="2">
        <v>6</v>
      </c>
      <c r="B11" s="2">
        <f>Annual_Report!B7</f>
        <v>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4">
        <f t="shared" si="1"/>
        <v>0</v>
      </c>
      <c r="AI11" s="4">
        <f t="shared" si="2"/>
        <v>0</v>
      </c>
      <c r="AJ11" s="4">
        <f t="shared" si="3"/>
        <v>0</v>
      </c>
      <c r="AK11" s="4">
        <f t="shared" si="4"/>
        <v>0</v>
      </c>
    </row>
    <row r="12" spans="1:37" x14ac:dyDescent="0.25">
      <c r="A12" s="2">
        <v>7</v>
      </c>
      <c r="B12" s="2">
        <f>Annual_Report!B8</f>
        <v>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4">
        <f t="shared" si="1"/>
        <v>0</v>
      </c>
      <c r="AI12" s="4">
        <f t="shared" si="2"/>
        <v>0</v>
      </c>
      <c r="AJ12" s="4">
        <f t="shared" si="3"/>
        <v>0</v>
      </c>
      <c r="AK12" s="4">
        <f t="shared" si="4"/>
        <v>0</v>
      </c>
    </row>
    <row r="13" spans="1:37" x14ac:dyDescent="0.25">
      <c r="A13" s="2">
        <v>8</v>
      </c>
      <c r="B13" s="2">
        <f>Annual_Report!B9</f>
        <v>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4">
        <f t="shared" si="1"/>
        <v>0</v>
      </c>
      <c r="AI13" s="4">
        <f t="shared" si="2"/>
        <v>0</v>
      </c>
      <c r="AJ13" s="4">
        <f t="shared" si="3"/>
        <v>0</v>
      </c>
      <c r="AK13" s="4">
        <f t="shared" si="4"/>
        <v>0</v>
      </c>
    </row>
    <row r="14" spans="1:37" x14ac:dyDescent="0.25">
      <c r="A14" s="2">
        <v>9</v>
      </c>
      <c r="B14" s="2">
        <f>Annual_Report!B10</f>
        <v>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4">
        <f t="shared" si="1"/>
        <v>0</v>
      </c>
      <c r="AI14" s="4">
        <f t="shared" si="2"/>
        <v>0</v>
      </c>
      <c r="AJ14" s="4">
        <f t="shared" si="3"/>
        <v>0</v>
      </c>
      <c r="AK14" s="4">
        <f t="shared" si="4"/>
        <v>0</v>
      </c>
    </row>
    <row r="15" spans="1:37" x14ac:dyDescent="0.25">
      <c r="A15" s="2">
        <v>10</v>
      </c>
      <c r="B15" s="2">
        <f>Annual_Report!B11</f>
        <v>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4">
        <f t="shared" si="1"/>
        <v>0</v>
      </c>
      <c r="AI15" s="4">
        <f t="shared" si="2"/>
        <v>0</v>
      </c>
      <c r="AJ15" s="4">
        <f t="shared" si="3"/>
        <v>0</v>
      </c>
      <c r="AK15" s="4">
        <f t="shared" si="4"/>
        <v>0</v>
      </c>
    </row>
    <row r="16" spans="1:37" x14ac:dyDescent="0.25">
      <c r="A16" s="2">
        <v>11</v>
      </c>
      <c r="B16" s="2">
        <f>Annual_Report!B12</f>
        <v>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4">
        <f t="shared" si="1"/>
        <v>0</v>
      </c>
      <c r="AI16" s="4">
        <f t="shared" si="2"/>
        <v>0</v>
      </c>
      <c r="AJ16" s="4">
        <f t="shared" si="3"/>
        <v>0</v>
      </c>
      <c r="AK16" s="4">
        <f t="shared" si="4"/>
        <v>0</v>
      </c>
    </row>
    <row r="17" spans="1:37" x14ac:dyDescent="0.25">
      <c r="A17" s="2">
        <v>12</v>
      </c>
      <c r="B17" s="2">
        <f>Annual_Report!B13</f>
        <v>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4">
        <f t="shared" si="1"/>
        <v>0</v>
      </c>
      <c r="AI17" s="4">
        <f t="shared" si="2"/>
        <v>0</v>
      </c>
      <c r="AJ17" s="4">
        <f t="shared" si="3"/>
        <v>0</v>
      </c>
      <c r="AK17" s="4">
        <f t="shared" si="4"/>
        <v>0</v>
      </c>
    </row>
    <row r="18" spans="1:37" x14ac:dyDescent="0.25">
      <c r="A18" s="2">
        <v>13</v>
      </c>
      <c r="B18" s="2">
        <f>Annual_Report!B14</f>
        <v>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4">
        <f t="shared" si="1"/>
        <v>0</v>
      </c>
      <c r="AI18" s="4">
        <f t="shared" si="2"/>
        <v>0</v>
      </c>
      <c r="AJ18" s="4">
        <f t="shared" si="3"/>
        <v>0</v>
      </c>
      <c r="AK18" s="4">
        <f t="shared" si="4"/>
        <v>0</v>
      </c>
    </row>
    <row r="19" spans="1:37" x14ac:dyDescent="0.25">
      <c r="A19" s="2">
        <v>14</v>
      </c>
      <c r="B19" s="2">
        <f>Annual_Report!B15</f>
        <v>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4">
        <f t="shared" si="1"/>
        <v>0</v>
      </c>
      <c r="AI19" s="4">
        <f t="shared" si="2"/>
        <v>0</v>
      </c>
      <c r="AJ19" s="4">
        <f t="shared" si="3"/>
        <v>0</v>
      </c>
      <c r="AK19" s="4">
        <f t="shared" si="4"/>
        <v>0</v>
      </c>
    </row>
    <row r="20" spans="1:37" x14ac:dyDescent="0.25">
      <c r="A20" s="2">
        <v>15</v>
      </c>
      <c r="B20" s="2">
        <f>Annual_Report!B16</f>
        <v>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4">
        <f t="shared" si="1"/>
        <v>0</v>
      </c>
      <c r="AI20" s="4">
        <f t="shared" si="2"/>
        <v>0</v>
      </c>
      <c r="AJ20" s="4">
        <f t="shared" si="3"/>
        <v>0</v>
      </c>
      <c r="AK20" s="4">
        <f t="shared" si="4"/>
        <v>0</v>
      </c>
    </row>
    <row r="21" spans="1:37" x14ac:dyDescent="0.25">
      <c r="A21" s="2">
        <v>16</v>
      </c>
      <c r="B21" s="2">
        <f>Annual_Report!B17</f>
        <v>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4">
        <f t="shared" si="1"/>
        <v>0</v>
      </c>
      <c r="AI21" s="4">
        <f t="shared" si="2"/>
        <v>0</v>
      </c>
      <c r="AJ21" s="4">
        <f t="shared" si="3"/>
        <v>0</v>
      </c>
      <c r="AK21" s="4">
        <f t="shared" si="4"/>
        <v>0</v>
      </c>
    </row>
    <row r="22" spans="1:37" x14ac:dyDescent="0.25">
      <c r="A22" s="2">
        <v>17</v>
      </c>
      <c r="B22" s="2">
        <f>Annual_Report!B18</f>
        <v>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4">
        <f t="shared" si="1"/>
        <v>0</v>
      </c>
      <c r="AI22" s="4">
        <f t="shared" si="2"/>
        <v>0</v>
      </c>
      <c r="AJ22" s="4">
        <f t="shared" si="3"/>
        <v>0</v>
      </c>
      <c r="AK22" s="4">
        <f t="shared" si="4"/>
        <v>0</v>
      </c>
    </row>
    <row r="23" spans="1:37" x14ac:dyDescent="0.25">
      <c r="A23" s="2">
        <v>18</v>
      </c>
      <c r="B23" s="2">
        <f>Annual_Report!B19</f>
        <v>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4">
        <f t="shared" si="1"/>
        <v>0</v>
      </c>
      <c r="AI23" s="4">
        <f t="shared" si="2"/>
        <v>0</v>
      </c>
      <c r="AJ23" s="4">
        <f t="shared" si="3"/>
        <v>0</v>
      </c>
      <c r="AK23" s="4">
        <f t="shared" si="4"/>
        <v>0</v>
      </c>
    </row>
    <row r="24" spans="1:37" x14ac:dyDescent="0.25">
      <c r="A24" s="2">
        <v>19</v>
      </c>
      <c r="B24" s="2">
        <f>Annual_Report!B20</f>
        <v>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4">
        <f t="shared" si="1"/>
        <v>0</v>
      </c>
      <c r="AI24" s="4">
        <f t="shared" si="2"/>
        <v>0</v>
      </c>
      <c r="AJ24" s="4">
        <f t="shared" si="3"/>
        <v>0</v>
      </c>
      <c r="AK24" s="4">
        <f t="shared" si="4"/>
        <v>0</v>
      </c>
    </row>
    <row r="25" spans="1:37" x14ac:dyDescent="0.25">
      <c r="A25" s="2">
        <v>20</v>
      </c>
      <c r="B25" s="2">
        <f>Annual_Report!B21</f>
        <v>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4">
        <f t="shared" si="1"/>
        <v>0</v>
      </c>
      <c r="AI25" s="4">
        <f t="shared" si="2"/>
        <v>0</v>
      </c>
      <c r="AJ25" s="4">
        <f t="shared" si="3"/>
        <v>0</v>
      </c>
      <c r="AK25" s="4">
        <f t="shared" si="4"/>
        <v>0</v>
      </c>
    </row>
    <row r="26" spans="1:37" x14ac:dyDescent="0.25">
      <c r="A26" s="2">
        <v>21</v>
      </c>
      <c r="B26" s="2">
        <f>Annual_Report!B22</f>
        <v>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4">
        <f t="shared" si="1"/>
        <v>0</v>
      </c>
      <c r="AI26" s="4">
        <f t="shared" si="2"/>
        <v>0</v>
      </c>
      <c r="AJ26" s="4">
        <f t="shared" si="3"/>
        <v>0</v>
      </c>
      <c r="AK26" s="4">
        <f t="shared" si="4"/>
        <v>0</v>
      </c>
    </row>
    <row r="27" spans="1:37" x14ac:dyDescent="0.25">
      <c r="A27" s="2">
        <v>22</v>
      </c>
      <c r="B27" s="2">
        <f>Annual_Report!B23</f>
        <v>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4">
        <f t="shared" si="1"/>
        <v>0</v>
      </c>
      <c r="AI27" s="4">
        <f t="shared" si="2"/>
        <v>0</v>
      </c>
      <c r="AJ27" s="4">
        <f t="shared" si="3"/>
        <v>0</v>
      </c>
      <c r="AK27" s="4">
        <f t="shared" si="4"/>
        <v>0</v>
      </c>
    </row>
    <row r="28" spans="1:37" x14ac:dyDescent="0.25">
      <c r="A28" s="2">
        <v>23</v>
      </c>
      <c r="B28" s="2">
        <f>Annual_Report!B24</f>
        <v>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4">
        <f t="shared" si="1"/>
        <v>0</v>
      </c>
      <c r="AI28" s="4">
        <f t="shared" si="2"/>
        <v>0</v>
      </c>
      <c r="AJ28" s="4">
        <f t="shared" si="3"/>
        <v>0</v>
      </c>
      <c r="AK28" s="4">
        <f t="shared" si="4"/>
        <v>0</v>
      </c>
    </row>
    <row r="29" spans="1:37" x14ac:dyDescent="0.25">
      <c r="A29" s="2">
        <v>24</v>
      </c>
      <c r="B29" s="2">
        <f>Annual_Report!B25</f>
        <v>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4">
        <f t="shared" si="1"/>
        <v>0</v>
      </c>
      <c r="AI29" s="4">
        <f t="shared" si="2"/>
        <v>0</v>
      </c>
      <c r="AJ29" s="4">
        <f t="shared" si="3"/>
        <v>0</v>
      </c>
      <c r="AK29" s="4">
        <f t="shared" si="4"/>
        <v>0</v>
      </c>
    </row>
    <row r="30" spans="1:37" x14ac:dyDescent="0.25">
      <c r="A30" s="2">
        <v>25</v>
      </c>
      <c r="B30" s="2">
        <f>Annual_Report!B26</f>
        <v>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4">
        <f t="shared" si="1"/>
        <v>0</v>
      </c>
      <c r="AI30" s="4">
        <f t="shared" si="2"/>
        <v>0</v>
      </c>
      <c r="AJ30" s="4">
        <f t="shared" si="3"/>
        <v>0</v>
      </c>
      <c r="AK30" s="4">
        <f t="shared" si="4"/>
        <v>0</v>
      </c>
    </row>
    <row r="31" spans="1:37" x14ac:dyDescent="0.25">
      <c r="A31" s="2">
        <v>26</v>
      </c>
      <c r="B31" s="2">
        <f>Annual_Report!B27</f>
        <v>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4">
        <f t="shared" si="1"/>
        <v>0</v>
      </c>
      <c r="AI31" s="4">
        <f t="shared" si="2"/>
        <v>0</v>
      </c>
      <c r="AJ31" s="4">
        <f t="shared" si="3"/>
        <v>0</v>
      </c>
      <c r="AK31" s="4">
        <f t="shared" si="4"/>
        <v>0</v>
      </c>
    </row>
    <row r="32" spans="1:37" x14ac:dyDescent="0.25">
      <c r="A32" s="2">
        <v>27</v>
      </c>
      <c r="B32" s="2">
        <f>Annual_Report!B28</f>
        <v>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4">
        <f t="shared" si="1"/>
        <v>0</v>
      </c>
      <c r="AI32" s="4">
        <f t="shared" si="2"/>
        <v>0</v>
      </c>
      <c r="AJ32" s="4">
        <f t="shared" si="3"/>
        <v>0</v>
      </c>
      <c r="AK32" s="4">
        <f t="shared" si="4"/>
        <v>0</v>
      </c>
    </row>
    <row r="33" spans="1:37" x14ac:dyDescent="0.25">
      <c r="A33" s="2">
        <v>28</v>
      </c>
      <c r="B33" s="2">
        <f>Annual_Report!B29</f>
        <v>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4">
        <f t="shared" si="1"/>
        <v>0</v>
      </c>
      <c r="AI33" s="4">
        <f t="shared" si="2"/>
        <v>0</v>
      </c>
      <c r="AJ33" s="4">
        <f t="shared" si="3"/>
        <v>0</v>
      </c>
      <c r="AK33" s="4">
        <f t="shared" si="4"/>
        <v>0</v>
      </c>
    </row>
    <row r="34" spans="1:37" x14ac:dyDescent="0.25">
      <c r="A34" s="2">
        <v>29</v>
      </c>
      <c r="B34" s="2">
        <f>Annual_Report!B30</f>
        <v>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4">
        <f t="shared" si="1"/>
        <v>0</v>
      </c>
      <c r="AI34" s="4">
        <f t="shared" si="2"/>
        <v>0</v>
      </c>
      <c r="AJ34" s="4">
        <f t="shared" si="3"/>
        <v>0</v>
      </c>
      <c r="AK34" s="4">
        <f t="shared" si="4"/>
        <v>0</v>
      </c>
    </row>
    <row r="35" spans="1:37" x14ac:dyDescent="0.25">
      <c r="A35" s="2">
        <v>30</v>
      </c>
      <c r="B35" s="2">
        <f>Annual_Report!B31</f>
        <v>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4">
        <f t="shared" si="1"/>
        <v>0</v>
      </c>
      <c r="AI35" s="4">
        <f t="shared" si="2"/>
        <v>0</v>
      </c>
      <c r="AJ35" s="4">
        <f t="shared" si="3"/>
        <v>0</v>
      </c>
      <c r="AK35" s="4">
        <f t="shared" si="4"/>
        <v>0</v>
      </c>
    </row>
    <row r="36" spans="1:37" x14ac:dyDescent="0.25">
      <c r="A36" s="2">
        <v>31</v>
      </c>
      <c r="B36" s="2">
        <f>Annual_Report!B32</f>
        <v>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4">
        <f t="shared" si="1"/>
        <v>0</v>
      </c>
      <c r="AI36" s="4">
        <f t="shared" si="2"/>
        <v>0</v>
      </c>
      <c r="AJ36" s="4">
        <f t="shared" si="3"/>
        <v>0</v>
      </c>
      <c r="AK36" s="4">
        <f t="shared" si="4"/>
        <v>0</v>
      </c>
    </row>
    <row r="37" spans="1:37" x14ac:dyDescent="0.25">
      <c r="A37" s="2">
        <v>32</v>
      </c>
      <c r="B37" s="2">
        <f>Annual_Report!B33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4">
        <f t="shared" si="1"/>
        <v>0</v>
      </c>
      <c r="AI37" s="4">
        <f t="shared" si="2"/>
        <v>0</v>
      </c>
      <c r="AJ37" s="4">
        <f t="shared" si="3"/>
        <v>0</v>
      </c>
      <c r="AK37" s="4">
        <f t="shared" si="4"/>
        <v>0</v>
      </c>
    </row>
    <row r="38" spans="1:37" x14ac:dyDescent="0.25">
      <c r="A38" s="2">
        <v>33</v>
      </c>
      <c r="B38" s="2">
        <f>Annual_Report!B34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4">
        <f t="shared" ref="AH38:AH69" si="5">COUNTIF($C38:$AG38, "ح")</f>
        <v>0</v>
      </c>
      <c r="AI38" s="4">
        <f t="shared" ref="AI38:AI69" si="6">COUNTIF($C38:$AG38, "غ")</f>
        <v>0</v>
      </c>
      <c r="AJ38" s="4">
        <f t="shared" ref="AJ38:AJ69" si="7">COUNTIF($C38:$AG38, "ج")</f>
        <v>0</v>
      </c>
      <c r="AK38" s="4">
        <f t="shared" ref="AK38:AK69" si="8">COUNTIF($C38:$AG38, "م")</f>
        <v>0</v>
      </c>
    </row>
    <row r="39" spans="1:37" x14ac:dyDescent="0.25">
      <c r="A39" s="2">
        <v>34</v>
      </c>
      <c r="B39" s="2">
        <f>Annual_Report!B35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4">
        <f t="shared" si="5"/>
        <v>0</v>
      </c>
      <c r="AI39" s="4">
        <f t="shared" si="6"/>
        <v>0</v>
      </c>
      <c r="AJ39" s="4">
        <f t="shared" si="7"/>
        <v>0</v>
      </c>
      <c r="AK39" s="4">
        <f t="shared" si="8"/>
        <v>0</v>
      </c>
    </row>
    <row r="40" spans="1:37" x14ac:dyDescent="0.25">
      <c r="A40" s="2">
        <v>35</v>
      </c>
      <c r="B40" s="2">
        <f>Annual_Report!B36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4">
        <f t="shared" si="5"/>
        <v>0</v>
      </c>
      <c r="AI40" s="4">
        <f t="shared" si="6"/>
        <v>0</v>
      </c>
      <c r="AJ40" s="4">
        <f t="shared" si="7"/>
        <v>0</v>
      </c>
      <c r="AK40" s="4">
        <f t="shared" si="8"/>
        <v>0</v>
      </c>
    </row>
    <row r="41" spans="1:37" x14ac:dyDescent="0.25">
      <c r="A41" s="2">
        <v>36</v>
      </c>
      <c r="B41" s="2">
        <f>Annual_Report!B37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4">
        <f t="shared" si="5"/>
        <v>0</v>
      </c>
      <c r="AI41" s="4">
        <f t="shared" si="6"/>
        <v>0</v>
      </c>
      <c r="AJ41" s="4">
        <f t="shared" si="7"/>
        <v>0</v>
      </c>
      <c r="AK41" s="4">
        <f t="shared" si="8"/>
        <v>0</v>
      </c>
    </row>
    <row r="42" spans="1:37" x14ac:dyDescent="0.25">
      <c r="A42" s="2">
        <v>37</v>
      </c>
      <c r="B42" s="2">
        <f>Annual_Report!B38</f>
        <v>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4">
        <f t="shared" si="5"/>
        <v>0</v>
      </c>
      <c r="AI42" s="4">
        <f t="shared" si="6"/>
        <v>0</v>
      </c>
      <c r="AJ42" s="4">
        <f t="shared" si="7"/>
        <v>0</v>
      </c>
      <c r="AK42" s="4">
        <f t="shared" si="8"/>
        <v>0</v>
      </c>
    </row>
    <row r="43" spans="1:37" x14ac:dyDescent="0.25">
      <c r="A43" s="2">
        <v>38</v>
      </c>
      <c r="B43" s="2">
        <f>Annual_Report!B39</f>
        <v>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4">
        <f t="shared" si="5"/>
        <v>0</v>
      </c>
      <c r="AI43" s="4">
        <f t="shared" si="6"/>
        <v>0</v>
      </c>
      <c r="AJ43" s="4">
        <f t="shared" si="7"/>
        <v>0</v>
      </c>
      <c r="AK43" s="4">
        <f t="shared" si="8"/>
        <v>0</v>
      </c>
    </row>
    <row r="44" spans="1:37" x14ac:dyDescent="0.25">
      <c r="A44" s="2">
        <v>39</v>
      </c>
      <c r="B44" s="2">
        <f>Annual_Report!B40</f>
        <v>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4">
        <f t="shared" si="5"/>
        <v>0</v>
      </c>
      <c r="AI44" s="4">
        <f t="shared" si="6"/>
        <v>0</v>
      </c>
      <c r="AJ44" s="4">
        <f t="shared" si="7"/>
        <v>0</v>
      </c>
      <c r="AK44" s="4">
        <f t="shared" si="8"/>
        <v>0</v>
      </c>
    </row>
    <row r="45" spans="1:37" x14ac:dyDescent="0.25">
      <c r="A45" s="2">
        <v>40</v>
      </c>
      <c r="B45" s="2">
        <f>Annual_Report!B41</f>
        <v>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4">
        <f t="shared" si="5"/>
        <v>0</v>
      </c>
      <c r="AI45" s="4">
        <f t="shared" si="6"/>
        <v>0</v>
      </c>
      <c r="AJ45" s="4">
        <f t="shared" si="7"/>
        <v>0</v>
      </c>
      <c r="AK45" s="4">
        <f t="shared" si="8"/>
        <v>0</v>
      </c>
    </row>
    <row r="46" spans="1:37" x14ac:dyDescent="0.25">
      <c r="A46" s="2">
        <v>41</v>
      </c>
      <c r="B46" s="2">
        <f>Annual_Report!B42</f>
        <v>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4">
        <f t="shared" si="5"/>
        <v>0</v>
      </c>
      <c r="AI46" s="4">
        <f t="shared" si="6"/>
        <v>0</v>
      </c>
      <c r="AJ46" s="4">
        <f t="shared" si="7"/>
        <v>0</v>
      </c>
      <c r="AK46" s="4">
        <f t="shared" si="8"/>
        <v>0</v>
      </c>
    </row>
    <row r="47" spans="1:37" x14ac:dyDescent="0.25">
      <c r="A47" s="2">
        <v>42</v>
      </c>
      <c r="B47" s="2">
        <f>Annual_Report!B43</f>
        <v>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4">
        <f t="shared" si="5"/>
        <v>0</v>
      </c>
      <c r="AI47" s="4">
        <f t="shared" si="6"/>
        <v>0</v>
      </c>
      <c r="AJ47" s="4">
        <f t="shared" si="7"/>
        <v>0</v>
      </c>
      <c r="AK47" s="4">
        <f t="shared" si="8"/>
        <v>0</v>
      </c>
    </row>
    <row r="48" spans="1:37" x14ac:dyDescent="0.25">
      <c r="A48" s="2">
        <v>43</v>
      </c>
      <c r="B48" s="2">
        <f>Annual_Report!B44</f>
        <v>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4">
        <f t="shared" si="5"/>
        <v>0</v>
      </c>
      <c r="AI48" s="4">
        <f t="shared" si="6"/>
        <v>0</v>
      </c>
      <c r="AJ48" s="4">
        <f t="shared" si="7"/>
        <v>0</v>
      </c>
      <c r="AK48" s="4">
        <f t="shared" si="8"/>
        <v>0</v>
      </c>
    </row>
    <row r="49" spans="1:37" x14ac:dyDescent="0.25">
      <c r="A49" s="2">
        <v>44</v>
      </c>
      <c r="B49" s="2">
        <f>Annual_Report!B45</f>
        <v>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4">
        <f t="shared" si="5"/>
        <v>0</v>
      </c>
      <c r="AI49" s="4">
        <f t="shared" si="6"/>
        <v>0</v>
      </c>
      <c r="AJ49" s="4">
        <f t="shared" si="7"/>
        <v>0</v>
      </c>
      <c r="AK49" s="4">
        <f t="shared" si="8"/>
        <v>0</v>
      </c>
    </row>
    <row r="50" spans="1:37" x14ac:dyDescent="0.25">
      <c r="A50" s="2">
        <v>45</v>
      </c>
      <c r="B50" s="2">
        <f>Annual_Report!B46</f>
        <v>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4">
        <f t="shared" si="5"/>
        <v>0</v>
      </c>
      <c r="AI50" s="4">
        <f t="shared" si="6"/>
        <v>0</v>
      </c>
      <c r="AJ50" s="4">
        <f t="shared" si="7"/>
        <v>0</v>
      </c>
      <c r="AK50" s="4">
        <f t="shared" si="8"/>
        <v>0</v>
      </c>
    </row>
    <row r="51" spans="1:37" x14ac:dyDescent="0.25">
      <c r="A51" s="2">
        <v>46</v>
      </c>
      <c r="B51" s="2">
        <f>Annual_Report!B47</f>
        <v>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4">
        <f t="shared" si="5"/>
        <v>0</v>
      </c>
      <c r="AI51" s="4">
        <f t="shared" si="6"/>
        <v>0</v>
      </c>
      <c r="AJ51" s="4">
        <f t="shared" si="7"/>
        <v>0</v>
      </c>
      <c r="AK51" s="4">
        <f t="shared" si="8"/>
        <v>0</v>
      </c>
    </row>
    <row r="52" spans="1:37" x14ac:dyDescent="0.25">
      <c r="A52" s="2">
        <v>47</v>
      </c>
      <c r="B52" s="2">
        <f>Annual_Report!B48</f>
        <v>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4">
        <f t="shared" si="5"/>
        <v>0</v>
      </c>
      <c r="AI52" s="4">
        <f t="shared" si="6"/>
        <v>0</v>
      </c>
      <c r="AJ52" s="4">
        <f t="shared" si="7"/>
        <v>0</v>
      </c>
      <c r="AK52" s="4">
        <f t="shared" si="8"/>
        <v>0</v>
      </c>
    </row>
    <row r="53" spans="1:37" x14ac:dyDescent="0.25">
      <c r="A53" s="2">
        <v>48</v>
      </c>
      <c r="B53" s="2">
        <f>Annual_Report!B49</f>
        <v>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4">
        <f t="shared" si="5"/>
        <v>0</v>
      </c>
      <c r="AI53" s="4">
        <f t="shared" si="6"/>
        <v>0</v>
      </c>
      <c r="AJ53" s="4">
        <f t="shared" si="7"/>
        <v>0</v>
      </c>
      <c r="AK53" s="4">
        <f t="shared" si="8"/>
        <v>0</v>
      </c>
    </row>
    <row r="54" spans="1:37" x14ac:dyDescent="0.25">
      <c r="A54" s="2">
        <v>49</v>
      </c>
      <c r="B54" s="2">
        <f>Annual_Report!B50</f>
        <v>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4">
        <f t="shared" si="5"/>
        <v>0</v>
      </c>
      <c r="AI54" s="4">
        <f t="shared" si="6"/>
        <v>0</v>
      </c>
      <c r="AJ54" s="4">
        <f t="shared" si="7"/>
        <v>0</v>
      </c>
      <c r="AK54" s="4">
        <f t="shared" si="8"/>
        <v>0</v>
      </c>
    </row>
    <row r="55" spans="1:37" x14ac:dyDescent="0.25">
      <c r="A55" s="2">
        <v>50</v>
      </c>
      <c r="B55" s="2">
        <f>Annual_Report!B51</f>
        <v>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4">
        <f t="shared" si="5"/>
        <v>0</v>
      </c>
      <c r="AI55" s="4">
        <f t="shared" si="6"/>
        <v>0</v>
      </c>
      <c r="AJ55" s="4">
        <f t="shared" si="7"/>
        <v>0</v>
      </c>
      <c r="AK55" s="4">
        <f t="shared" si="8"/>
        <v>0</v>
      </c>
    </row>
    <row r="56" spans="1:37" x14ac:dyDescent="0.25">
      <c r="A56" s="2">
        <v>51</v>
      </c>
      <c r="B56" s="2">
        <f>Annual_Report!B52</f>
        <v>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4">
        <f t="shared" si="5"/>
        <v>0</v>
      </c>
      <c r="AI56" s="4">
        <f t="shared" si="6"/>
        <v>0</v>
      </c>
      <c r="AJ56" s="4">
        <f t="shared" si="7"/>
        <v>0</v>
      </c>
      <c r="AK56" s="4">
        <f t="shared" si="8"/>
        <v>0</v>
      </c>
    </row>
    <row r="57" spans="1:37" x14ac:dyDescent="0.25">
      <c r="A57" s="2">
        <v>52</v>
      </c>
      <c r="B57" s="2">
        <f>Annual_Report!B53</f>
        <v>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4">
        <f t="shared" si="5"/>
        <v>0</v>
      </c>
      <c r="AI57" s="4">
        <f t="shared" si="6"/>
        <v>0</v>
      </c>
      <c r="AJ57" s="4">
        <f t="shared" si="7"/>
        <v>0</v>
      </c>
      <c r="AK57" s="4">
        <f t="shared" si="8"/>
        <v>0</v>
      </c>
    </row>
    <row r="58" spans="1:37" x14ac:dyDescent="0.25">
      <c r="A58" s="2">
        <v>53</v>
      </c>
      <c r="B58" s="2">
        <f>Annual_Report!B54</f>
        <v>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4">
        <f t="shared" si="5"/>
        <v>0</v>
      </c>
      <c r="AI58" s="4">
        <f t="shared" si="6"/>
        <v>0</v>
      </c>
      <c r="AJ58" s="4">
        <f t="shared" si="7"/>
        <v>0</v>
      </c>
      <c r="AK58" s="4">
        <f t="shared" si="8"/>
        <v>0</v>
      </c>
    </row>
    <row r="59" spans="1:37" x14ac:dyDescent="0.25">
      <c r="A59" s="2">
        <v>54</v>
      </c>
      <c r="B59" s="2">
        <f>Annual_Report!B55</f>
        <v>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4">
        <f t="shared" si="5"/>
        <v>0</v>
      </c>
      <c r="AI59" s="4">
        <f t="shared" si="6"/>
        <v>0</v>
      </c>
      <c r="AJ59" s="4">
        <f t="shared" si="7"/>
        <v>0</v>
      </c>
      <c r="AK59" s="4">
        <f t="shared" si="8"/>
        <v>0</v>
      </c>
    </row>
    <row r="60" spans="1:37" x14ac:dyDescent="0.25">
      <c r="A60" s="2">
        <v>55</v>
      </c>
      <c r="B60" s="2">
        <f>Annual_Report!B56</f>
        <v>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4">
        <f t="shared" si="5"/>
        <v>0</v>
      </c>
      <c r="AI60" s="4">
        <f t="shared" si="6"/>
        <v>0</v>
      </c>
      <c r="AJ60" s="4">
        <f t="shared" si="7"/>
        <v>0</v>
      </c>
      <c r="AK60" s="4">
        <f t="shared" si="8"/>
        <v>0</v>
      </c>
    </row>
    <row r="61" spans="1:37" x14ac:dyDescent="0.25">
      <c r="A61" s="2">
        <v>56</v>
      </c>
      <c r="B61" s="2">
        <f>Annual_Report!B57</f>
        <v>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4">
        <f t="shared" si="5"/>
        <v>0</v>
      </c>
      <c r="AI61" s="4">
        <f t="shared" si="6"/>
        <v>0</v>
      </c>
      <c r="AJ61" s="4">
        <f t="shared" si="7"/>
        <v>0</v>
      </c>
      <c r="AK61" s="4">
        <f t="shared" si="8"/>
        <v>0</v>
      </c>
    </row>
    <row r="62" spans="1:37" x14ac:dyDescent="0.25">
      <c r="A62" s="2">
        <v>57</v>
      </c>
      <c r="B62" s="2">
        <f>Annual_Report!B58</f>
        <v>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4">
        <f t="shared" si="5"/>
        <v>0</v>
      </c>
      <c r="AI62" s="4">
        <f t="shared" si="6"/>
        <v>0</v>
      </c>
      <c r="AJ62" s="4">
        <f t="shared" si="7"/>
        <v>0</v>
      </c>
      <c r="AK62" s="4">
        <f t="shared" si="8"/>
        <v>0</v>
      </c>
    </row>
    <row r="63" spans="1:37" x14ac:dyDescent="0.25">
      <c r="A63" s="2">
        <v>58</v>
      </c>
      <c r="B63" s="2">
        <f>Annual_Report!B59</f>
        <v>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4">
        <f t="shared" si="5"/>
        <v>0</v>
      </c>
      <c r="AI63" s="4">
        <f t="shared" si="6"/>
        <v>0</v>
      </c>
      <c r="AJ63" s="4">
        <f t="shared" si="7"/>
        <v>0</v>
      </c>
      <c r="AK63" s="4">
        <f t="shared" si="8"/>
        <v>0</v>
      </c>
    </row>
    <row r="64" spans="1:37" x14ac:dyDescent="0.25">
      <c r="A64" s="2">
        <v>59</v>
      </c>
      <c r="B64" s="2">
        <f>Annual_Report!B60</f>
        <v>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4">
        <f t="shared" si="5"/>
        <v>0</v>
      </c>
      <c r="AI64" s="4">
        <f t="shared" si="6"/>
        <v>0</v>
      </c>
      <c r="AJ64" s="4">
        <f t="shared" si="7"/>
        <v>0</v>
      </c>
      <c r="AK64" s="4">
        <f t="shared" si="8"/>
        <v>0</v>
      </c>
    </row>
    <row r="65" spans="1:37" x14ac:dyDescent="0.25">
      <c r="A65" s="2">
        <v>60</v>
      </c>
      <c r="B65" s="2">
        <f>Annual_Report!B61</f>
        <v>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4">
        <f t="shared" si="5"/>
        <v>0</v>
      </c>
      <c r="AI65" s="4">
        <f t="shared" si="6"/>
        <v>0</v>
      </c>
      <c r="AJ65" s="4">
        <f t="shared" si="7"/>
        <v>0</v>
      </c>
      <c r="AK65" s="4">
        <f t="shared" si="8"/>
        <v>0</v>
      </c>
    </row>
    <row r="66" spans="1:37" x14ac:dyDescent="0.25">
      <c r="A66" s="2">
        <v>61</v>
      </c>
      <c r="B66" s="2">
        <f>Annual_Report!B62</f>
        <v>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4">
        <f t="shared" si="5"/>
        <v>0</v>
      </c>
      <c r="AI66" s="4">
        <f t="shared" si="6"/>
        <v>0</v>
      </c>
      <c r="AJ66" s="4">
        <f t="shared" si="7"/>
        <v>0</v>
      </c>
      <c r="AK66" s="4">
        <f t="shared" si="8"/>
        <v>0</v>
      </c>
    </row>
    <row r="67" spans="1:37" x14ac:dyDescent="0.25">
      <c r="A67" s="2">
        <v>62</v>
      </c>
      <c r="B67" s="2">
        <f>Annual_Report!B63</f>
        <v>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4">
        <f t="shared" si="5"/>
        <v>0</v>
      </c>
      <c r="AI67" s="4">
        <f t="shared" si="6"/>
        <v>0</v>
      </c>
      <c r="AJ67" s="4">
        <f t="shared" si="7"/>
        <v>0</v>
      </c>
      <c r="AK67" s="4">
        <f t="shared" si="8"/>
        <v>0</v>
      </c>
    </row>
    <row r="68" spans="1:37" x14ac:dyDescent="0.25">
      <c r="A68" s="2">
        <v>63</v>
      </c>
      <c r="B68" s="2">
        <f>Annual_Report!B64</f>
        <v>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4">
        <f t="shared" si="5"/>
        <v>0</v>
      </c>
      <c r="AI68" s="4">
        <f t="shared" si="6"/>
        <v>0</v>
      </c>
      <c r="AJ68" s="4">
        <f t="shared" si="7"/>
        <v>0</v>
      </c>
      <c r="AK68" s="4">
        <f t="shared" si="8"/>
        <v>0</v>
      </c>
    </row>
    <row r="69" spans="1:37" x14ac:dyDescent="0.25">
      <c r="A69" s="2">
        <v>64</v>
      </c>
      <c r="B69" s="2">
        <f>Annual_Report!B65</f>
        <v>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4">
        <f t="shared" si="5"/>
        <v>0</v>
      </c>
      <c r="AI69" s="4">
        <f t="shared" si="6"/>
        <v>0</v>
      </c>
      <c r="AJ69" s="4">
        <f t="shared" si="7"/>
        <v>0</v>
      </c>
      <c r="AK69" s="4">
        <f t="shared" si="8"/>
        <v>0</v>
      </c>
    </row>
    <row r="70" spans="1:37" x14ac:dyDescent="0.25">
      <c r="A70" s="2">
        <v>65</v>
      </c>
      <c r="B70" s="2">
        <f>Annual_Report!B66</f>
        <v>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4">
        <f t="shared" ref="AH70:AH105" si="9">COUNTIF($C70:$AG70, "ح")</f>
        <v>0</v>
      </c>
      <c r="AI70" s="4">
        <f t="shared" ref="AI70:AI105" si="10">COUNTIF($C70:$AG70, "غ")</f>
        <v>0</v>
      </c>
      <c r="AJ70" s="4">
        <f t="shared" ref="AJ70:AJ105" si="11">COUNTIF($C70:$AG70, "ج")</f>
        <v>0</v>
      </c>
      <c r="AK70" s="4">
        <f t="shared" ref="AK70:AK105" si="12">COUNTIF($C70:$AG70, "م")</f>
        <v>0</v>
      </c>
    </row>
    <row r="71" spans="1:37" x14ac:dyDescent="0.25">
      <c r="A71" s="2">
        <v>66</v>
      </c>
      <c r="B71" s="2">
        <f>Annual_Report!B67</f>
        <v>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4">
        <f t="shared" si="9"/>
        <v>0</v>
      </c>
      <c r="AI71" s="4">
        <f t="shared" si="10"/>
        <v>0</v>
      </c>
      <c r="AJ71" s="4">
        <f t="shared" si="11"/>
        <v>0</v>
      </c>
      <c r="AK71" s="4">
        <f t="shared" si="12"/>
        <v>0</v>
      </c>
    </row>
    <row r="72" spans="1:37" x14ac:dyDescent="0.25">
      <c r="A72" s="2">
        <v>67</v>
      </c>
      <c r="B72" s="2">
        <f>Annual_Report!B68</f>
        <v>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4">
        <f t="shared" si="9"/>
        <v>0</v>
      </c>
      <c r="AI72" s="4">
        <f t="shared" si="10"/>
        <v>0</v>
      </c>
      <c r="AJ72" s="4">
        <f t="shared" si="11"/>
        <v>0</v>
      </c>
      <c r="AK72" s="4">
        <f t="shared" si="12"/>
        <v>0</v>
      </c>
    </row>
    <row r="73" spans="1:37" x14ac:dyDescent="0.25">
      <c r="A73" s="2">
        <v>68</v>
      </c>
      <c r="B73" s="2">
        <f>Annual_Report!B69</f>
        <v>0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4">
        <f t="shared" si="9"/>
        <v>0</v>
      </c>
      <c r="AI73" s="4">
        <f t="shared" si="10"/>
        <v>0</v>
      </c>
      <c r="AJ73" s="4">
        <f t="shared" si="11"/>
        <v>0</v>
      </c>
      <c r="AK73" s="4">
        <f t="shared" si="12"/>
        <v>0</v>
      </c>
    </row>
    <row r="74" spans="1:37" x14ac:dyDescent="0.25">
      <c r="A74" s="2">
        <v>69</v>
      </c>
      <c r="B74" s="2">
        <f>Annual_Report!B70</f>
        <v>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4">
        <f t="shared" si="9"/>
        <v>0</v>
      </c>
      <c r="AI74" s="4">
        <f t="shared" si="10"/>
        <v>0</v>
      </c>
      <c r="AJ74" s="4">
        <f t="shared" si="11"/>
        <v>0</v>
      </c>
      <c r="AK74" s="4">
        <f t="shared" si="12"/>
        <v>0</v>
      </c>
    </row>
    <row r="75" spans="1:37" x14ac:dyDescent="0.25">
      <c r="A75" s="2">
        <v>70</v>
      </c>
      <c r="B75" s="2">
        <f>Annual_Report!B71</f>
        <v>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4">
        <f t="shared" si="9"/>
        <v>0</v>
      </c>
      <c r="AI75" s="4">
        <f t="shared" si="10"/>
        <v>0</v>
      </c>
      <c r="AJ75" s="4">
        <f t="shared" si="11"/>
        <v>0</v>
      </c>
      <c r="AK75" s="4">
        <f t="shared" si="12"/>
        <v>0</v>
      </c>
    </row>
    <row r="76" spans="1:37" x14ac:dyDescent="0.25">
      <c r="A76" s="2">
        <v>71</v>
      </c>
      <c r="B76" s="2">
        <f>Annual_Report!B72</f>
        <v>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4">
        <f t="shared" si="9"/>
        <v>0</v>
      </c>
      <c r="AI76" s="4">
        <f t="shared" si="10"/>
        <v>0</v>
      </c>
      <c r="AJ76" s="4">
        <f t="shared" si="11"/>
        <v>0</v>
      </c>
      <c r="AK76" s="4">
        <f t="shared" si="12"/>
        <v>0</v>
      </c>
    </row>
    <row r="77" spans="1:37" x14ac:dyDescent="0.25">
      <c r="A77" s="2">
        <v>72</v>
      </c>
      <c r="B77" s="2">
        <f>Annual_Report!B73</f>
        <v>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4">
        <f t="shared" si="9"/>
        <v>0</v>
      </c>
      <c r="AI77" s="4">
        <f t="shared" si="10"/>
        <v>0</v>
      </c>
      <c r="AJ77" s="4">
        <f t="shared" si="11"/>
        <v>0</v>
      </c>
      <c r="AK77" s="4">
        <f t="shared" si="12"/>
        <v>0</v>
      </c>
    </row>
    <row r="78" spans="1:37" x14ac:dyDescent="0.25">
      <c r="A78" s="2">
        <v>73</v>
      </c>
      <c r="B78" s="2">
        <f>Annual_Report!B74</f>
        <v>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4">
        <f t="shared" si="9"/>
        <v>0</v>
      </c>
      <c r="AI78" s="4">
        <f t="shared" si="10"/>
        <v>0</v>
      </c>
      <c r="AJ78" s="4">
        <f t="shared" si="11"/>
        <v>0</v>
      </c>
      <c r="AK78" s="4">
        <f t="shared" si="12"/>
        <v>0</v>
      </c>
    </row>
    <row r="79" spans="1:37" x14ac:dyDescent="0.25">
      <c r="A79" s="2">
        <v>74</v>
      </c>
      <c r="B79" s="2">
        <f>Annual_Report!B75</f>
        <v>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4">
        <f t="shared" si="9"/>
        <v>0</v>
      </c>
      <c r="AI79" s="4">
        <f t="shared" si="10"/>
        <v>0</v>
      </c>
      <c r="AJ79" s="4">
        <f t="shared" si="11"/>
        <v>0</v>
      </c>
      <c r="AK79" s="4">
        <f t="shared" si="12"/>
        <v>0</v>
      </c>
    </row>
    <row r="80" spans="1:37" x14ac:dyDescent="0.25">
      <c r="A80" s="2">
        <v>75</v>
      </c>
      <c r="B80" s="2">
        <f>Annual_Report!B76</f>
        <v>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4">
        <f t="shared" si="9"/>
        <v>0</v>
      </c>
      <c r="AI80" s="4">
        <f t="shared" si="10"/>
        <v>0</v>
      </c>
      <c r="AJ80" s="4">
        <f t="shared" si="11"/>
        <v>0</v>
      </c>
      <c r="AK80" s="4">
        <f t="shared" si="12"/>
        <v>0</v>
      </c>
    </row>
    <row r="81" spans="1:37" x14ac:dyDescent="0.25">
      <c r="A81" s="2">
        <v>76</v>
      </c>
      <c r="B81" s="2">
        <f>Annual_Report!B77</f>
        <v>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4">
        <f t="shared" si="9"/>
        <v>0</v>
      </c>
      <c r="AI81" s="4">
        <f t="shared" si="10"/>
        <v>0</v>
      </c>
      <c r="AJ81" s="4">
        <f t="shared" si="11"/>
        <v>0</v>
      </c>
      <c r="AK81" s="4">
        <f t="shared" si="12"/>
        <v>0</v>
      </c>
    </row>
    <row r="82" spans="1:37" x14ac:dyDescent="0.25">
      <c r="A82" s="2">
        <v>77</v>
      </c>
      <c r="B82" s="2">
        <f>Annual_Report!B78</f>
        <v>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4">
        <f t="shared" si="9"/>
        <v>0</v>
      </c>
      <c r="AI82" s="4">
        <f t="shared" si="10"/>
        <v>0</v>
      </c>
      <c r="AJ82" s="4">
        <f t="shared" si="11"/>
        <v>0</v>
      </c>
      <c r="AK82" s="4">
        <f t="shared" si="12"/>
        <v>0</v>
      </c>
    </row>
    <row r="83" spans="1:37" x14ac:dyDescent="0.25">
      <c r="A83" s="2">
        <v>78</v>
      </c>
      <c r="B83" s="2">
        <f>Annual_Report!B79</f>
        <v>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4">
        <f t="shared" si="9"/>
        <v>0</v>
      </c>
      <c r="AI83" s="4">
        <f t="shared" si="10"/>
        <v>0</v>
      </c>
      <c r="AJ83" s="4">
        <f t="shared" si="11"/>
        <v>0</v>
      </c>
      <c r="AK83" s="4">
        <f t="shared" si="12"/>
        <v>0</v>
      </c>
    </row>
    <row r="84" spans="1:37" x14ac:dyDescent="0.25">
      <c r="A84" s="2">
        <v>79</v>
      </c>
      <c r="B84" s="2">
        <f>Annual_Report!B80</f>
        <v>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4">
        <f t="shared" si="9"/>
        <v>0</v>
      </c>
      <c r="AI84" s="4">
        <f t="shared" si="10"/>
        <v>0</v>
      </c>
      <c r="AJ84" s="4">
        <f t="shared" si="11"/>
        <v>0</v>
      </c>
      <c r="AK84" s="4">
        <f t="shared" si="12"/>
        <v>0</v>
      </c>
    </row>
    <row r="85" spans="1:37" x14ac:dyDescent="0.25">
      <c r="A85" s="2">
        <v>80</v>
      </c>
      <c r="B85" s="2">
        <f>Annual_Report!B81</f>
        <v>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4">
        <f t="shared" si="9"/>
        <v>0</v>
      </c>
      <c r="AI85" s="4">
        <f t="shared" si="10"/>
        <v>0</v>
      </c>
      <c r="AJ85" s="4">
        <f t="shared" si="11"/>
        <v>0</v>
      </c>
      <c r="AK85" s="4">
        <f t="shared" si="12"/>
        <v>0</v>
      </c>
    </row>
    <row r="86" spans="1:37" x14ac:dyDescent="0.25">
      <c r="A86" s="2">
        <v>81</v>
      </c>
      <c r="B86" s="2">
        <f>Annual_Report!B82</f>
        <v>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4">
        <f t="shared" si="9"/>
        <v>0</v>
      </c>
      <c r="AI86" s="4">
        <f t="shared" si="10"/>
        <v>0</v>
      </c>
      <c r="AJ86" s="4">
        <f t="shared" si="11"/>
        <v>0</v>
      </c>
      <c r="AK86" s="4">
        <f t="shared" si="12"/>
        <v>0</v>
      </c>
    </row>
    <row r="87" spans="1:37" x14ac:dyDescent="0.25">
      <c r="A87" s="2">
        <v>82</v>
      </c>
      <c r="B87" s="2">
        <f>Annual_Report!B83</f>
        <v>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4">
        <f t="shared" si="9"/>
        <v>0</v>
      </c>
      <c r="AI87" s="4">
        <f t="shared" si="10"/>
        <v>0</v>
      </c>
      <c r="AJ87" s="4">
        <f t="shared" si="11"/>
        <v>0</v>
      </c>
      <c r="AK87" s="4">
        <f t="shared" si="12"/>
        <v>0</v>
      </c>
    </row>
    <row r="88" spans="1:37" x14ac:dyDescent="0.25">
      <c r="A88" s="2">
        <v>83</v>
      </c>
      <c r="B88" s="2">
        <f>Annual_Report!B84</f>
        <v>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4">
        <f t="shared" si="9"/>
        <v>0</v>
      </c>
      <c r="AI88" s="4">
        <f t="shared" si="10"/>
        <v>0</v>
      </c>
      <c r="AJ88" s="4">
        <f t="shared" si="11"/>
        <v>0</v>
      </c>
      <c r="AK88" s="4">
        <f t="shared" si="12"/>
        <v>0</v>
      </c>
    </row>
    <row r="89" spans="1:37" x14ac:dyDescent="0.25">
      <c r="A89" s="2">
        <v>84</v>
      </c>
      <c r="B89" s="2">
        <f>Annual_Report!B85</f>
        <v>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4">
        <f t="shared" si="9"/>
        <v>0</v>
      </c>
      <c r="AI89" s="4">
        <f t="shared" si="10"/>
        <v>0</v>
      </c>
      <c r="AJ89" s="4">
        <f t="shared" si="11"/>
        <v>0</v>
      </c>
      <c r="AK89" s="4">
        <f t="shared" si="12"/>
        <v>0</v>
      </c>
    </row>
    <row r="90" spans="1:37" x14ac:dyDescent="0.25">
      <c r="A90" s="2">
        <v>85</v>
      </c>
      <c r="B90" s="2">
        <f>Annual_Report!B86</f>
        <v>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4">
        <f t="shared" si="9"/>
        <v>0</v>
      </c>
      <c r="AI90" s="4">
        <f t="shared" si="10"/>
        <v>0</v>
      </c>
      <c r="AJ90" s="4">
        <f t="shared" si="11"/>
        <v>0</v>
      </c>
      <c r="AK90" s="4">
        <f t="shared" si="12"/>
        <v>0</v>
      </c>
    </row>
    <row r="91" spans="1:37" x14ac:dyDescent="0.25">
      <c r="A91" s="2">
        <v>86</v>
      </c>
      <c r="B91" s="2">
        <f>Annual_Report!B87</f>
        <v>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4">
        <f t="shared" si="9"/>
        <v>0</v>
      </c>
      <c r="AI91" s="4">
        <f t="shared" si="10"/>
        <v>0</v>
      </c>
      <c r="AJ91" s="4">
        <f t="shared" si="11"/>
        <v>0</v>
      </c>
      <c r="AK91" s="4">
        <f t="shared" si="12"/>
        <v>0</v>
      </c>
    </row>
    <row r="92" spans="1:37" x14ac:dyDescent="0.25">
      <c r="A92" s="2">
        <v>87</v>
      </c>
      <c r="B92" s="2">
        <f>Annual_Report!B88</f>
        <v>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4">
        <f t="shared" si="9"/>
        <v>0</v>
      </c>
      <c r="AI92" s="4">
        <f t="shared" si="10"/>
        <v>0</v>
      </c>
      <c r="AJ92" s="4">
        <f t="shared" si="11"/>
        <v>0</v>
      </c>
      <c r="AK92" s="4">
        <f t="shared" si="12"/>
        <v>0</v>
      </c>
    </row>
    <row r="93" spans="1:37" x14ac:dyDescent="0.25">
      <c r="A93" s="2">
        <v>88</v>
      </c>
      <c r="B93" s="2">
        <f>Annual_Report!B89</f>
        <v>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4">
        <f t="shared" si="9"/>
        <v>0</v>
      </c>
      <c r="AI93" s="4">
        <f t="shared" si="10"/>
        <v>0</v>
      </c>
      <c r="AJ93" s="4">
        <f t="shared" si="11"/>
        <v>0</v>
      </c>
      <c r="AK93" s="4">
        <f t="shared" si="12"/>
        <v>0</v>
      </c>
    </row>
    <row r="94" spans="1:37" x14ac:dyDescent="0.25">
      <c r="A94" s="2">
        <v>89</v>
      </c>
      <c r="B94" s="2">
        <f>Annual_Report!B90</f>
        <v>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4">
        <f t="shared" si="9"/>
        <v>0</v>
      </c>
      <c r="AI94" s="4">
        <f t="shared" si="10"/>
        <v>0</v>
      </c>
      <c r="AJ94" s="4">
        <f t="shared" si="11"/>
        <v>0</v>
      </c>
      <c r="AK94" s="4">
        <f t="shared" si="12"/>
        <v>0</v>
      </c>
    </row>
    <row r="95" spans="1:37" x14ac:dyDescent="0.25">
      <c r="A95" s="2">
        <v>90</v>
      </c>
      <c r="B95" s="2">
        <f>Annual_Report!B91</f>
        <v>0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4">
        <f t="shared" si="9"/>
        <v>0</v>
      </c>
      <c r="AI95" s="4">
        <f t="shared" si="10"/>
        <v>0</v>
      </c>
      <c r="AJ95" s="4">
        <f t="shared" si="11"/>
        <v>0</v>
      </c>
      <c r="AK95" s="4">
        <f t="shared" si="12"/>
        <v>0</v>
      </c>
    </row>
    <row r="96" spans="1:37" x14ac:dyDescent="0.25">
      <c r="A96" s="2">
        <v>91</v>
      </c>
      <c r="B96" s="2">
        <f>Annual_Report!B92</f>
        <v>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4">
        <f t="shared" si="9"/>
        <v>0</v>
      </c>
      <c r="AI96" s="4">
        <f t="shared" si="10"/>
        <v>0</v>
      </c>
      <c r="AJ96" s="4">
        <f t="shared" si="11"/>
        <v>0</v>
      </c>
      <c r="AK96" s="4">
        <f t="shared" si="12"/>
        <v>0</v>
      </c>
    </row>
    <row r="97" spans="1:37" x14ac:dyDescent="0.25">
      <c r="A97" s="2">
        <v>92</v>
      </c>
      <c r="B97" s="2">
        <f>Annual_Report!B93</f>
        <v>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4">
        <f t="shared" si="9"/>
        <v>0</v>
      </c>
      <c r="AI97" s="4">
        <f t="shared" si="10"/>
        <v>0</v>
      </c>
      <c r="AJ97" s="4">
        <f t="shared" si="11"/>
        <v>0</v>
      </c>
      <c r="AK97" s="4">
        <f t="shared" si="12"/>
        <v>0</v>
      </c>
    </row>
    <row r="98" spans="1:37" x14ac:dyDescent="0.25">
      <c r="A98" s="2">
        <v>93</v>
      </c>
      <c r="B98" s="2">
        <f>Annual_Report!B94</f>
        <v>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4">
        <f t="shared" si="9"/>
        <v>0</v>
      </c>
      <c r="AI98" s="4">
        <f t="shared" si="10"/>
        <v>0</v>
      </c>
      <c r="AJ98" s="4">
        <f t="shared" si="11"/>
        <v>0</v>
      </c>
      <c r="AK98" s="4">
        <f t="shared" si="12"/>
        <v>0</v>
      </c>
    </row>
    <row r="99" spans="1:37" x14ac:dyDescent="0.25">
      <c r="A99" s="2">
        <v>94</v>
      </c>
      <c r="B99" s="2">
        <f>Annual_Report!B95</f>
        <v>0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4">
        <f t="shared" si="9"/>
        <v>0</v>
      </c>
      <c r="AI99" s="4">
        <f t="shared" si="10"/>
        <v>0</v>
      </c>
      <c r="AJ99" s="4">
        <f t="shared" si="11"/>
        <v>0</v>
      </c>
      <c r="AK99" s="4">
        <f t="shared" si="12"/>
        <v>0</v>
      </c>
    </row>
    <row r="100" spans="1:37" x14ac:dyDescent="0.25">
      <c r="A100" s="2">
        <v>95</v>
      </c>
      <c r="B100" s="2">
        <f>Annual_Report!B96</f>
        <v>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4">
        <f t="shared" si="9"/>
        <v>0</v>
      </c>
      <c r="AI100" s="4">
        <f t="shared" si="10"/>
        <v>0</v>
      </c>
      <c r="AJ100" s="4">
        <f t="shared" si="11"/>
        <v>0</v>
      </c>
      <c r="AK100" s="4">
        <f t="shared" si="12"/>
        <v>0</v>
      </c>
    </row>
    <row r="101" spans="1:37" x14ac:dyDescent="0.25">
      <c r="A101" s="2">
        <v>96</v>
      </c>
      <c r="B101" s="2">
        <f>Annual_Report!B97</f>
        <v>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4">
        <f t="shared" si="9"/>
        <v>0</v>
      </c>
      <c r="AI101" s="4">
        <f t="shared" si="10"/>
        <v>0</v>
      </c>
      <c r="AJ101" s="4">
        <f t="shared" si="11"/>
        <v>0</v>
      </c>
      <c r="AK101" s="4">
        <f t="shared" si="12"/>
        <v>0</v>
      </c>
    </row>
    <row r="102" spans="1:37" x14ac:dyDescent="0.25">
      <c r="A102" s="2">
        <v>97</v>
      </c>
      <c r="B102" s="2">
        <f>Annual_Report!B98</f>
        <v>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4">
        <f t="shared" si="9"/>
        <v>0</v>
      </c>
      <c r="AI102" s="4">
        <f t="shared" si="10"/>
        <v>0</v>
      </c>
      <c r="AJ102" s="4">
        <f t="shared" si="11"/>
        <v>0</v>
      </c>
      <c r="AK102" s="4">
        <f t="shared" si="12"/>
        <v>0</v>
      </c>
    </row>
    <row r="103" spans="1:37" x14ac:dyDescent="0.25">
      <c r="A103" s="2">
        <v>98</v>
      </c>
      <c r="B103" s="2">
        <f>Annual_Report!B99</f>
        <v>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4">
        <f t="shared" si="9"/>
        <v>0</v>
      </c>
      <c r="AI103" s="4">
        <f t="shared" si="10"/>
        <v>0</v>
      </c>
      <c r="AJ103" s="4">
        <f t="shared" si="11"/>
        <v>0</v>
      </c>
      <c r="AK103" s="4">
        <f t="shared" si="12"/>
        <v>0</v>
      </c>
    </row>
    <row r="104" spans="1:37" x14ac:dyDescent="0.25">
      <c r="A104" s="2">
        <v>99</v>
      </c>
      <c r="B104" s="2">
        <f>Annual_Report!B100</f>
        <v>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4">
        <f t="shared" si="9"/>
        <v>0</v>
      </c>
      <c r="AI104" s="4">
        <f t="shared" si="10"/>
        <v>0</v>
      </c>
      <c r="AJ104" s="4">
        <f t="shared" si="11"/>
        <v>0</v>
      </c>
      <c r="AK104" s="4">
        <f t="shared" si="12"/>
        <v>0</v>
      </c>
    </row>
    <row r="105" spans="1:37" x14ac:dyDescent="0.25">
      <c r="A105" s="2">
        <v>100</v>
      </c>
      <c r="B105" s="2">
        <f>Annual_Report!B101</f>
        <v>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4">
        <f t="shared" si="9"/>
        <v>0</v>
      </c>
      <c r="AI105" s="4">
        <f t="shared" si="10"/>
        <v>0</v>
      </c>
      <c r="AJ105" s="4">
        <f t="shared" si="11"/>
        <v>0</v>
      </c>
      <c r="AK105" s="4">
        <f t="shared" si="12"/>
        <v>0</v>
      </c>
    </row>
  </sheetData>
  <conditionalFormatting sqref="C6:AG105">
    <cfRule type="cellIs" dxfId="41" priority="1" stopIfTrue="1" operator="equal">
      <formula>"ح"</formula>
    </cfRule>
    <cfRule type="cellIs" dxfId="40" priority="2" stopIfTrue="1" operator="equal">
      <formula>"غ"</formula>
    </cfRule>
    <cfRule type="cellIs" dxfId="39" priority="3" stopIfTrue="1" operator="equal">
      <formula>"ج"</formula>
    </cfRule>
    <cfRule type="cellIs" dxfId="38" priority="4" stopIfTrue="1" operator="equal">
      <formula>"م"</formula>
    </cfRule>
    <cfRule type="cellIs" dxfId="37" priority="5" stopIfTrue="1" operator="equal">
      <formula>"ج"</formula>
    </cfRule>
    <cfRule type="cellIs" dxfId="36" priority="6" stopIfTrue="1" operator="equal">
      <formula>"م"</formula>
    </cfRule>
  </conditionalFormatting>
  <dataValidations count="1">
    <dataValidation type="list" allowBlank="1" showErrorMessage="1" errorTitle="خطأ في الإدخال" error="يرجى استخدام الحروف الصحيحة: ح - غ - ج - م" sqref="C6:AG105" xr:uid="{41C25933-A241-4C4B-9342-BE4534551FD3}">
      <formula1>"ح,غ,ج,م"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133BD-5A8B-4AE8-A8A8-0E1720089765}">
  <sheetPr codeName="Sheet87"/>
  <dimension ref="A1:AK105"/>
  <sheetViews>
    <sheetView rightToLeft="1" workbookViewId="0"/>
  </sheetViews>
  <sheetFormatPr defaultRowHeight="15" x14ac:dyDescent="0.25"/>
  <cols>
    <col min="1" max="1" width="4.7109375" customWidth="1"/>
    <col min="2" max="2" width="25.7109375" customWidth="1"/>
    <col min="3" max="33" width="4.7109375" customWidth="1"/>
    <col min="34" max="34" width="5.85546875" bestFit="1" customWidth="1"/>
    <col min="35" max="35" width="4.7109375" bestFit="1" customWidth="1"/>
    <col min="36" max="36" width="4.5703125" bestFit="1" customWidth="1"/>
    <col min="37" max="37" width="6" bestFit="1" customWidth="1"/>
  </cols>
  <sheetData>
    <row r="1" spans="1:37" x14ac:dyDescent="0.25">
      <c r="A1" s="6"/>
      <c r="B1" s="6"/>
      <c r="C1" s="5" t="s">
        <v>9</v>
      </c>
      <c r="D1" s="5" t="s">
        <v>0</v>
      </c>
      <c r="E1" s="5" t="s">
        <v>1</v>
      </c>
      <c r="F1" s="5" t="s">
        <v>10</v>
      </c>
      <c r="G1" s="5" t="s">
        <v>11</v>
      </c>
    </row>
    <row r="2" spans="1:37" x14ac:dyDescent="0.25">
      <c r="A2" s="6"/>
      <c r="B2" s="6"/>
      <c r="C2" s="5" t="s">
        <v>12</v>
      </c>
      <c r="D2" s="5" t="s">
        <v>6</v>
      </c>
      <c r="E2" s="5" t="s">
        <v>7</v>
      </c>
      <c r="F2" s="5" t="s">
        <v>8</v>
      </c>
      <c r="G2" s="5" t="s">
        <v>2</v>
      </c>
    </row>
    <row r="4" spans="1:37" ht="65.099999999999994" customHeight="1" x14ac:dyDescent="0.25">
      <c r="A4" s="2" t="s">
        <v>2</v>
      </c>
      <c r="B4" s="2" t="s">
        <v>3</v>
      </c>
      <c r="C4" s="1" t="str">
        <f>CHOOSE(WEEKDAY(C5), "الأحد","الاثنين","الثلاثاء","الأربعاء","الخميس","الجمعة","السبت")</f>
        <v>الأربعاء</v>
      </c>
      <c r="D4" s="1" t="str">
        <f t="shared" ref="D4:AG4" si="0">CHOOSE(WEEKDAY(D5), "الأحد","الاثنين","الثلاثاء","الأربعاء","الخميس","الجمعة","السبت")</f>
        <v>الخميس</v>
      </c>
      <c r="E4" s="1" t="str">
        <f t="shared" si="0"/>
        <v>الجمعة</v>
      </c>
      <c r="F4" s="1" t="str">
        <f t="shared" si="0"/>
        <v>السبت</v>
      </c>
      <c r="G4" s="1" t="str">
        <f t="shared" si="0"/>
        <v>الأحد</v>
      </c>
      <c r="H4" s="1" t="str">
        <f t="shared" si="0"/>
        <v>الاثنين</v>
      </c>
      <c r="I4" s="1" t="str">
        <f t="shared" si="0"/>
        <v>الثلاثاء</v>
      </c>
      <c r="J4" s="1" t="str">
        <f t="shared" si="0"/>
        <v>الأربعاء</v>
      </c>
      <c r="K4" s="1" t="str">
        <f t="shared" si="0"/>
        <v>الخميس</v>
      </c>
      <c r="L4" s="1" t="str">
        <f t="shared" si="0"/>
        <v>الجمعة</v>
      </c>
      <c r="M4" s="1" t="str">
        <f t="shared" si="0"/>
        <v>السبت</v>
      </c>
      <c r="N4" s="1" t="str">
        <f t="shared" si="0"/>
        <v>الأحد</v>
      </c>
      <c r="O4" s="1" t="str">
        <f t="shared" si="0"/>
        <v>الاثنين</v>
      </c>
      <c r="P4" s="1" t="str">
        <f t="shared" si="0"/>
        <v>الثلاثاء</v>
      </c>
      <c r="Q4" s="1" t="str">
        <f t="shared" si="0"/>
        <v>الأربعاء</v>
      </c>
      <c r="R4" s="1" t="str">
        <f t="shared" si="0"/>
        <v>الخميس</v>
      </c>
      <c r="S4" s="1" t="str">
        <f t="shared" si="0"/>
        <v>الجمعة</v>
      </c>
      <c r="T4" s="1" t="str">
        <f t="shared" si="0"/>
        <v>السبت</v>
      </c>
      <c r="U4" s="1" t="str">
        <f t="shared" si="0"/>
        <v>الأحد</v>
      </c>
      <c r="V4" s="1" t="str">
        <f t="shared" si="0"/>
        <v>الاثنين</v>
      </c>
      <c r="W4" s="1" t="str">
        <f t="shared" si="0"/>
        <v>الثلاثاء</v>
      </c>
      <c r="X4" s="1" t="str">
        <f t="shared" si="0"/>
        <v>الأربعاء</v>
      </c>
      <c r="Y4" s="1" t="str">
        <f t="shared" si="0"/>
        <v>الخميس</v>
      </c>
      <c r="Z4" s="1" t="str">
        <f t="shared" si="0"/>
        <v>الجمعة</v>
      </c>
      <c r="AA4" s="1" t="str">
        <f t="shared" si="0"/>
        <v>السبت</v>
      </c>
      <c r="AB4" s="1" t="str">
        <f t="shared" si="0"/>
        <v>الأحد</v>
      </c>
      <c r="AC4" s="1" t="str">
        <f t="shared" si="0"/>
        <v>الاثنين</v>
      </c>
      <c r="AD4" s="1" t="str">
        <f t="shared" si="0"/>
        <v>الثلاثاء</v>
      </c>
      <c r="AE4" s="1" t="str">
        <f t="shared" si="0"/>
        <v>الأربعاء</v>
      </c>
      <c r="AF4" s="1" t="str">
        <f t="shared" si="0"/>
        <v>الخميس</v>
      </c>
      <c r="AG4" s="1" t="str">
        <f t="shared" si="0"/>
        <v>الجمعة</v>
      </c>
      <c r="AH4" s="9" t="s">
        <v>0</v>
      </c>
      <c r="AI4" s="9" t="s">
        <v>1</v>
      </c>
      <c r="AJ4" s="9" t="s">
        <v>10</v>
      </c>
      <c r="AK4" s="9" t="s">
        <v>11</v>
      </c>
    </row>
    <row r="5" spans="1:37" x14ac:dyDescent="0.25">
      <c r="A5" s="2"/>
      <c r="B5" s="2"/>
      <c r="C5" s="3" cm="1">
        <f t="array" ref="C5:AG5">_xlfn.SEQUENCE(1, DAY(EOMONTH(DATE(2026,7,1),0)), DATE(2026,7,1))</f>
        <v>46204</v>
      </c>
      <c r="D5" s="3">
        <v>46205</v>
      </c>
      <c r="E5" s="3">
        <v>46206</v>
      </c>
      <c r="F5" s="3">
        <v>46207</v>
      </c>
      <c r="G5" s="3">
        <v>46208</v>
      </c>
      <c r="H5" s="3">
        <v>46209</v>
      </c>
      <c r="I5" s="3">
        <v>46210</v>
      </c>
      <c r="J5" s="3">
        <v>46211</v>
      </c>
      <c r="K5" s="3">
        <v>46212</v>
      </c>
      <c r="L5" s="3">
        <v>46213</v>
      </c>
      <c r="M5" s="3">
        <v>46214</v>
      </c>
      <c r="N5" s="3">
        <v>46215</v>
      </c>
      <c r="O5" s="3">
        <v>46216</v>
      </c>
      <c r="P5" s="3">
        <v>46217</v>
      </c>
      <c r="Q5" s="3">
        <v>46218</v>
      </c>
      <c r="R5" s="3">
        <v>46219</v>
      </c>
      <c r="S5" s="3">
        <v>46220</v>
      </c>
      <c r="T5" s="3">
        <v>46221</v>
      </c>
      <c r="U5" s="3">
        <v>46222</v>
      </c>
      <c r="V5" s="3">
        <v>46223</v>
      </c>
      <c r="W5" s="3">
        <v>46224</v>
      </c>
      <c r="X5" s="3">
        <v>46225</v>
      </c>
      <c r="Y5" s="3">
        <v>46226</v>
      </c>
      <c r="Z5" s="3">
        <v>46227</v>
      </c>
      <c r="AA5" s="3">
        <v>46228</v>
      </c>
      <c r="AB5" s="3">
        <v>46229</v>
      </c>
      <c r="AC5" s="3">
        <v>46230</v>
      </c>
      <c r="AD5" s="3">
        <v>46231</v>
      </c>
      <c r="AE5" s="3">
        <v>46232</v>
      </c>
      <c r="AF5" s="3">
        <v>46233</v>
      </c>
      <c r="AG5" s="3">
        <v>46234</v>
      </c>
      <c r="AH5" s="4"/>
      <c r="AI5" s="4"/>
      <c r="AJ5" s="4"/>
      <c r="AK5" s="4"/>
    </row>
    <row r="6" spans="1:37" x14ac:dyDescent="0.25">
      <c r="A6" s="2">
        <v>1</v>
      </c>
      <c r="B6" s="2">
        <f>Annual_Report!B2</f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4">
        <f t="shared" ref="AH6:AH37" si="1">COUNTIF($C6:$AG6, "ح")</f>
        <v>0</v>
      </c>
      <c r="AI6" s="4">
        <f t="shared" ref="AI6:AI37" si="2">COUNTIF($C6:$AG6, "غ")</f>
        <v>0</v>
      </c>
      <c r="AJ6" s="4">
        <f t="shared" ref="AJ6:AJ37" si="3">COUNTIF($C6:$AG6, "ج")</f>
        <v>0</v>
      </c>
      <c r="AK6" s="4">
        <f t="shared" ref="AK6:AK37" si="4">COUNTIF($C6:$AG6, "م")</f>
        <v>0</v>
      </c>
    </row>
    <row r="7" spans="1:37" x14ac:dyDescent="0.25">
      <c r="A7" s="2">
        <v>2</v>
      </c>
      <c r="B7" s="2">
        <f>Annual_Report!B3</f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4">
        <f t="shared" si="1"/>
        <v>0</v>
      </c>
      <c r="AI7" s="4">
        <f t="shared" si="2"/>
        <v>0</v>
      </c>
      <c r="AJ7" s="4">
        <f t="shared" si="3"/>
        <v>0</v>
      </c>
      <c r="AK7" s="4">
        <f t="shared" si="4"/>
        <v>0</v>
      </c>
    </row>
    <row r="8" spans="1:37" x14ac:dyDescent="0.25">
      <c r="A8" s="2">
        <v>3</v>
      </c>
      <c r="B8" s="2">
        <f>Annual_Report!B4</f>
        <v>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4">
        <f t="shared" si="1"/>
        <v>0</v>
      </c>
      <c r="AI8" s="4">
        <f t="shared" si="2"/>
        <v>0</v>
      </c>
      <c r="AJ8" s="4">
        <f t="shared" si="3"/>
        <v>0</v>
      </c>
      <c r="AK8" s="4">
        <f t="shared" si="4"/>
        <v>0</v>
      </c>
    </row>
    <row r="9" spans="1:37" x14ac:dyDescent="0.25">
      <c r="A9" s="2">
        <v>4</v>
      </c>
      <c r="B9" s="2">
        <f>Annual_Report!B5</f>
        <v>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4">
        <f t="shared" si="1"/>
        <v>0</v>
      </c>
      <c r="AI9" s="4">
        <f t="shared" si="2"/>
        <v>0</v>
      </c>
      <c r="AJ9" s="4">
        <f t="shared" si="3"/>
        <v>0</v>
      </c>
      <c r="AK9" s="4">
        <f t="shared" si="4"/>
        <v>0</v>
      </c>
    </row>
    <row r="10" spans="1:37" x14ac:dyDescent="0.25">
      <c r="A10" s="2">
        <v>5</v>
      </c>
      <c r="B10" s="2">
        <f>Annual_Report!B6</f>
        <v>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4">
        <f t="shared" si="1"/>
        <v>0</v>
      </c>
      <c r="AI10" s="4">
        <f t="shared" si="2"/>
        <v>0</v>
      </c>
      <c r="AJ10" s="4">
        <f t="shared" si="3"/>
        <v>0</v>
      </c>
      <c r="AK10" s="4">
        <f t="shared" si="4"/>
        <v>0</v>
      </c>
    </row>
    <row r="11" spans="1:37" x14ac:dyDescent="0.25">
      <c r="A11" s="2">
        <v>6</v>
      </c>
      <c r="B11" s="2">
        <f>Annual_Report!B7</f>
        <v>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4">
        <f t="shared" si="1"/>
        <v>0</v>
      </c>
      <c r="AI11" s="4">
        <f t="shared" si="2"/>
        <v>0</v>
      </c>
      <c r="AJ11" s="4">
        <f t="shared" si="3"/>
        <v>0</v>
      </c>
      <c r="AK11" s="4">
        <f t="shared" si="4"/>
        <v>0</v>
      </c>
    </row>
    <row r="12" spans="1:37" x14ac:dyDescent="0.25">
      <c r="A12" s="2">
        <v>7</v>
      </c>
      <c r="B12" s="2">
        <f>Annual_Report!B8</f>
        <v>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4">
        <f t="shared" si="1"/>
        <v>0</v>
      </c>
      <c r="AI12" s="4">
        <f t="shared" si="2"/>
        <v>0</v>
      </c>
      <c r="AJ12" s="4">
        <f t="shared" si="3"/>
        <v>0</v>
      </c>
      <c r="AK12" s="4">
        <f t="shared" si="4"/>
        <v>0</v>
      </c>
    </row>
    <row r="13" spans="1:37" x14ac:dyDescent="0.25">
      <c r="A13" s="2">
        <v>8</v>
      </c>
      <c r="B13" s="2">
        <f>Annual_Report!B9</f>
        <v>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4">
        <f t="shared" si="1"/>
        <v>0</v>
      </c>
      <c r="AI13" s="4">
        <f t="shared" si="2"/>
        <v>0</v>
      </c>
      <c r="AJ13" s="4">
        <f t="shared" si="3"/>
        <v>0</v>
      </c>
      <c r="AK13" s="4">
        <f t="shared" si="4"/>
        <v>0</v>
      </c>
    </row>
    <row r="14" spans="1:37" x14ac:dyDescent="0.25">
      <c r="A14" s="2">
        <v>9</v>
      </c>
      <c r="B14" s="2">
        <f>Annual_Report!B10</f>
        <v>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4">
        <f t="shared" si="1"/>
        <v>0</v>
      </c>
      <c r="AI14" s="4">
        <f t="shared" si="2"/>
        <v>0</v>
      </c>
      <c r="AJ14" s="4">
        <f t="shared" si="3"/>
        <v>0</v>
      </c>
      <c r="AK14" s="4">
        <f t="shared" si="4"/>
        <v>0</v>
      </c>
    </row>
    <row r="15" spans="1:37" x14ac:dyDescent="0.25">
      <c r="A15" s="2">
        <v>10</v>
      </c>
      <c r="B15" s="2">
        <f>Annual_Report!B11</f>
        <v>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4">
        <f t="shared" si="1"/>
        <v>0</v>
      </c>
      <c r="AI15" s="4">
        <f t="shared" si="2"/>
        <v>0</v>
      </c>
      <c r="AJ15" s="4">
        <f t="shared" si="3"/>
        <v>0</v>
      </c>
      <c r="AK15" s="4">
        <f t="shared" si="4"/>
        <v>0</v>
      </c>
    </row>
    <row r="16" spans="1:37" x14ac:dyDescent="0.25">
      <c r="A16" s="2">
        <v>11</v>
      </c>
      <c r="B16" s="2">
        <f>Annual_Report!B12</f>
        <v>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4">
        <f t="shared" si="1"/>
        <v>0</v>
      </c>
      <c r="AI16" s="4">
        <f t="shared" si="2"/>
        <v>0</v>
      </c>
      <c r="AJ16" s="4">
        <f t="shared" si="3"/>
        <v>0</v>
      </c>
      <c r="AK16" s="4">
        <f t="shared" si="4"/>
        <v>0</v>
      </c>
    </row>
    <row r="17" spans="1:37" x14ac:dyDescent="0.25">
      <c r="A17" s="2">
        <v>12</v>
      </c>
      <c r="B17" s="2">
        <f>Annual_Report!B13</f>
        <v>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4">
        <f t="shared" si="1"/>
        <v>0</v>
      </c>
      <c r="AI17" s="4">
        <f t="shared" si="2"/>
        <v>0</v>
      </c>
      <c r="AJ17" s="4">
        <f t="shared" si="3"/>
        <v>0</v>
      </c>
      <c r="AK17" s="4">
        <f t="shared" si="4"/>
        <v>0</v>
      </c>
    </row>
    <row r="18" spans="1:37" x14ac:dyDescent="0.25">
      <c r="A18" s="2">
        <v>13</v>
      </c>
      <c r="B18" s="2">
        <f>Annual_Report!B14</f>
        <v>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4">
        <f t="shared" si="1"/>
        <v>0</v>
      </c>
      <c r="AI18" s="4">
        <f t="shared" si="2"/>
        <v>0</v>
      </c>
      <c r="AJ18" s="4">
        <f t="shared" si="3"/>
        <v>0</v>
      </c>
      <c r="AK18" s="4">
        <f t="shared" si="4"/>
        <v>0</v>
      </c>
    </row>
    <row r="19" spans="1:37" x14ac:dyDescent="0.25">
      <c r="A19" s="2">
        <v>14</v>
      </c>
      <c r="B19" s="2">
        <f>Annual_Report!B15</f>
        <v>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4">
        <f t="shared" si="1"/>
        <v>0</v>
      </c>
      <c r="AI19" s="4">
        <f t="shared" si="2"/>
        <v>0</v>
      </c>
      <c r="AJ19" s="4">
        <f t="shared" si="3"/>
        <v>0</v>
      </c>
      <c r="AK19" s="4">
        <f t="shared" si="4"/>
        <v>0</v>
      </c>
    </row>
    <row r="20" spans="1:37" x14ac:dyDescent="0.25">
      <c r="A20" s="2">
        <v>15</v>
      </c>
      <c r="B20" s="2">
        <f>Annual_Report!B16</f>
        <v>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4">
        <f t="shared" si="1"/>
        <v>0</v>
      </c>
      <c r="AI20" s="4">
        <f t="shared" si="2"/>
        <v>0</v>
      </c>
      <c r="AJ20" s="4">
        <f t="shared" si="3"/>
        <v>0</v>
      </c>
      <c r="AK20" s="4">
        <f t="shared" si="4"/>
        <v>0</v>
      </c>
    </row>
    <row r="21" spans="1:37" x14ac:dyDescent="0.25">
      <c r="A21" s="2">
        <v>16</v>
      </c>
      <c r="B21" s="2">
        <f>Annual_Report!B17</f>
        <v>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4">
        <f t="shared" si="1"/>
        <v>0</v>
      </c>
      <c r="AI21" s="4">
        <f t="shared" si="2"/>
        <v>0</v>
      </c>
      <c r="AJ21" s="4">
        <f t="shared" si="3"/>
        <v>0</v>
      </c>
      <c r="AK21" s="4">
        <f t="shared" si="4"/>
        <v>0</v>
      </c>
    </row>
    <row r="22" spans="1:37" x14ac:dyDescent="0.25">
      <c r="A22" s="2">
        <v>17</v>
      </c>
      <c r="B22" s="2">
        <f>Annual_Report!B18</f>
        <v>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4">
        <f t="shared" si="1"/>
        <v>0</v>
      </c>
      <c r="AI22" s="4">
        <f t="shared" si="2"/>
        <v>0</v>
      </c>
      <c r="AJ22" s="4">
        <f t="shared" si="3"/>
        <v>0</v>
      </c>
      <c r="AK22" s="4">
        <f t="shared" si="4"/>
        <v>0</v>
      </c>
    </row>
    <row r="23" spans="1:37" x14ac:dyDescent="0.25">
      <c r="A23" s="2">
        <v>18</v>
      </c>
      <c r="B23" s="2">
        <f>Annual_Report!B19</f>
        <v>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4">
        <f t="shared" si="1"/>
        <v>0</v>
      </c>
      <c r="AI23" s="4">
        <f t="shared" si="2"/>
        <v>0</v>
      </c>
      <c r="AJ23" s="4">
        <f t="shared" si="3"/>
        <v>0</v>
      </c>
      <c r="AK23" s="4">
        <f t="shared" si="4"/>
        <v>0</v>
      </c>
    </row>
    <row r="24" spans="1:37" x14ac:dyDescent="0.25">
      <c r="A24" s="2">
        <v>19</v>
      </c>
      <c r="B24" s="2">
        <f>Annual_Report!B20</f>
        <v>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4">
        <f t="shared" si="1"/>
        <v>0</v>
      </c>
      <c r="AI24" s="4">
        <f t="shared" si="2"/>
        <v>0</v>
      </c>
      <c r="AJ24" s="4">
        <f t="shared" si="3"/>
        <v>0</v>
      </c>
      <c r="AK24" s="4">
        <f t="shared" si="4"/>
        <v>0</v>
      </c>
    </row>
    <row r="25" spans="1:37" x14ac:dyDescent="0.25">
      <c r="A25" s="2">
        <v>20</v>
      </c>
      <c r="B25" s="2">
        <f>Annual_Report!B21</f>
        <v>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4">
        <f t="shared" si="1"/>
        <v>0</v>
      </c>
      <c r="AI25" s="4">
        <f t="shared" si="2"/>
        <v>0</v>
      </c>
      <c r="AJ25" s="4">
        <f t="shared" si="3"/>
        <v>0</v>
      </c>
      <c r="AK25" s="4">
        <f t="shared" si="4"/>
        <v>0</v>
      </c>
    </row>
    <row r="26" spans="1:37" x14ac:dyDescent="0.25">
      <c r="A26" s="2">
        <v>21</v>
      </c>
      <c r="B26" s="2">
        <f>Annual_Report!B22</f>
        <v>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4">
        <f t="shared" si="1"/>
        <v>0</v>
      </c>
      <c r="AI26" s="4">
        <f t="shared" si="2"/>
        <v>0</v>
      </c>
      <c r="AJ26" s="4">
        <f t="shared" si="3"/>
        <v>0</v>
      </c>
      <c r="AK26" s="4">
        <f t="shared" si="4"/>
        <v>0</v>
      </c>
    </row>
    <row r="27" spans="1:37" x14ac:dyDescent="0.25">
      <c r="A27" s="2">
        <v>22</v>
      </c>
      <c r="B27" s="2">
        <f>Annual_Report!B23</f>
        <v>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4">
        <f t="shared" si="1"/>
        <v>0</v>
      </c>
      <c r="AI27" s="4">
        <f t="shared" si="2"/>
        <v>0</v>
      </c>
      <c r="AJ27" s="4">
        <f t="shared" si="3"/>
        <v>0</v>
      </c>
      <c r="AK27" s="4">
        <f t="shared" si="4"/>
        <v>0</v>
      </c>
    </row>
    <row r="28" spans="1:37" x14ac:dyDescent="0.25">
      <c r="A28" s="2">
        <v>23</v>
      </c>
      <c r="B28" s="2">
        <f>Annual_Report!B24</f>
        <v>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4">
        <f t="shared" si="1"/>
        <v>0</v>
      </c>
      <c r="AI28" s="4">
        <f t="shared" si="2"/>
        <v>0</v>
      </c>
      <c r="AJ28" s="4">
        <f t="shared" si="3"/>
        <v>0</v>
      </c>
      <c r="AK28" s="4">
        <f t="shared" si="4"/>
        <v>0</v>
      </c>
    </row>
    <row r="29" spans="1:37" x14ac:dyDescent="0.25">
      <c r="A29" s="2">
        <v>24</v>
      </c>
      <c r="B29" s="2">
        <f>Annual_Report!B25</f>
        <v>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4">
        <f t="shared" si="1"/>
        <v>0</v>
      </c>
      <c r="AI29" s="4">
        <f t="shared" si="2"/>
        <v>0</v>
      </c>
      <c r="AJ29" s="4">
        <f t="shared" si="3"/>
        <v>0</v>
      </c>
      <c r="AK29" s="4">
        <f t="shared" si="4"/>
        <v>0</v>
      </c>
    </row>
    <row r="30" spans="1:37" x14ac:dyDescent="0.25">
      <c r="A30" s="2">
        <v>25</v>
      </c>
      <c r="B30" s="2">
        <f>Annual_Report!B26</f>
        <v>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4">
        <f t="shared" si="1"/>
        <v>0</v>
      </c>
      <c r="AI30" s="4">
        <f t="shared" si="2"/>
        <v>0</v>
      </c>
      <c r="AJ30" s="4">
        <f t="shared" si="3"/>
        <v>0</v>
      </c>
      <c r="AK30" s="4">
        <f t="shared" si="4"/>
        <v>0</v>
      </c>
    </row>
    <row r="31" spans="1:37" x14ac:dyDescent="0.25">
      <c r="A31" s="2">
        <v>26</v>
      </c>
      <c r="B31" s="2">
        <f>Annual_Report!B27</f>
        <v>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4">
        <f t="shared" si="1"/>
        <v>0</v>
      </c>
      <c r="AI31" s="4">
        <f t="shared" si="2"/>
        <v>0</v>
      </c>
      <c r="AJ31" s="4">
        <f t="shared" si="3"/>
        <v>0</v>
      </c>
      <c r="AK31" s="4">
        <f t="shared" si="4"/>
        <v>0</v>
      </c>
    </row>
    <row r="32" spans="1:37" x14ac:dyDescent="0.25">
      <c r="A32" s="2">
        <v>27</v>
      </c>
      <c r="B32" s="2">
        <f>Annual_Report!B28</f>
        <v>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4">
        <f t="shared" si="1"/>
        <v>0</v>
      </c>
      <c r="AI32" s="4">
        <f t="shared" si="2"/>
        <v>0</v>
      </c>
      <c r="AJ32" s="4">
        <f t="shared" si="3"/>
        <v>0</v>
      </c>
      <c r="AK32" s="4">
        <f t="shared" si="4"/>
        <v>0</v>
      </c>
    </row>
    <row r="33" spans="1:37" x14ac:dyDescent="0.25">
      <c r="A33" s="2">
        <v>28</v>
      </c>
      <c r="B33" s="2">
        <f>Annual_Report!B29</f>
        <v>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4">
        <f t="shared" si="1"/>
        <v>0</v>
      </c>
      <c r="AI33" s="4">
        <f t="shared" si="2"/>
        <v>0</v>
      </c>
      <c r="AJ33" s="4">
        <f t="shared" si="3"/>
        <v>0</v>
      </c>
      <c r="AK33" s="4">
        <f t="shared" si="4"/>
        <v>0</v>
      </c>
    </row>
    <row r="34" spans="1:37" x14ac:dyDescent="0.25">
      <c r="A34" s="2">
        <v>29</v>
      </c>
      <c r="B34" s="2">
        <f>Annual_Report!B30</f>
        <v>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4">
        <f t="shared" si="1"/>
        <v>0</v>
      </c>
      <c r="AI34" s="4">
        <f t="shared" si="2"/>
        <v>0</v>
      </c>
      <c r="AJ34" s="4">
        <f t="shared" si="3"/>
        <v>0</v>
      </c>
      <c r="AK34" s="4">
        <f t="shared" si="4"/>
        <v>0</v>
      </c>
    </row>
    <row r="35" spans="1:37" x14ac:dyDescent="0.25">
      <c r="A35" s="2">
        <v>30</v>
      </c>
      <c r="B35" s="2">
        <f>Annual_Report!B31</f>
        <v>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4">
        <f t="shared" si="1"/>
        <v>0</v>
      </c>
      <c r="AI35" s="4">
        <f t="shared" si="2"/>
        <v>0</v>
      </c>
      <c r="AJ35" s="4">
        <f t="shared" si="3"/>
        <v>0</v>
      </c>
      <c r="AK35" s="4">
        <f t="shared" si="4"/>
        <v>0</v>
      </c>
    </row>
    <row r="36" spans="1:37" x14ac:dyDescent="0.25">
      <c r="A36" s="2">
        <v>31</v>
      </c>
      <c r="B36" s="2">
        <f>Annual_Report!B32</f>
        <v>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4">
        <f t="shared" si="1"/>
        <v>0</v>
      </c>
      <c r="AI36" s="4">
        <f t="shared" si="2"/>
        <v>0</v>
      </c>
      <c r="AJ36" s="4">
        <f t="shared" si="3"/>
        <v>0</v>
      </c>
      <c r="AK36" s="4">
        <f t="shared" si="4"/>
        <v>0</v>
      </c>
    </row>
    <row r="37" spans="1:37" x14ac:dyDescent="0.25">
      <c r="A37" s="2">
        <v>32</v>
      </c>
      <c r="B37" s="2">
        <f>Annual_Report!B33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4">
        <f t="shared" si="1"/>
        <v>0</v>
      </c>
      <c r="AI37" s="4">
        <f t="shared" si="2"/>
        <v>0</v>
      </c>
      <c r="AJ37" s="4">
        <f t="shared" si="3"/>
        <v>0</v>
      </c>
      <c r="AK37" s="4">
        <f t="shared" si="4"/>
        <v>0</v>
      </c>
    </row>
    <row r="38" spans="1:37" x14ac:dyDescent="0.25">
      <c r="A38" s="2">
        <v>33</v>
      </c>
      <c r="B38" s="2">
        <f>Annual_Report!B34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4">
        <f t="shared" ref="AH38:AH69" si="5">COUNTIF($C38:$AG38, "ح")</f>
        <v>0</v>
      </c>
      <c r="AI38" s="4">
        <f t="shared" ref="AI38:AI69" si="6">COUNTIF($C38:$AG38, "غ")</f>
        <v>0</v>
      </c>
      <c r="AJ38" s="4">
        <f t="shared" ref="AJ38:AJ69" si="7">COUNTIF($C38:$AG38, "ج")</f>
        <v>0</v>
      </c>
      <c r="AK38" s="4">
        <f t="shared" ref="AK38:AK69" si="8">COUNTIF($C38:$AG38, "م")</f>
        <v>0</v>
      </c>
    </row>
    <row r="39" spans="1:37" x14ac:dyDescent="0.25">
      <c r="A39" s="2">
        <v>34</v>
      </c>
      <c r="B39" s="2">
        <f>Annual_Report!B35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4">
        <f t="shared" si="5"/>
        <v>0</v>
      </c>
      <c r="AI39" s="4">
        <f t="shared" si="6"/>
        <v>0</v>
      </c>
      <c r="AJ39" s="4">
        <f t="shared" si="7"/>
        <v>0</v>
      </c>
      <c r="AK39" s="4">
        <f t="shared" si="8"/>
        <v>0</v>
      </c>
    </row>
    <row r="40" spans="1:37" x14ac:dyDescent="0.25">
      <c r="A40" s="2">
        <v>35</v>
      </c>
      <c r="B40" s="2">
        <f>Annual_Report!B36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4">
        <f t="shared" si="5"/>
        <v>0</v>
      </c>
      <c r="AI40" s="4">
        <f t="shared" si="6"/>
        <v>0</v>
      </c>
      <c r="AJ40" s="4">
        <f t="shared" si="7"/>
        <v>0</v>
      </c>
      <c r="AK40" s="4">
        <f t="shared" si="8"/>
        <v>0</v>
      </c>
    </row>
    <row r="41" spans="1:37" x14ac:dyDescent="0.25">
      <c r="A41" s="2">
        <v>36</v>
      </c>
      <c r="B41" s="2">
        <f>Annual_Report!B37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4">
        <f t="shared" si="5"/>
        <v>0</v>
      </c>
      <c r="AI41" s="4">
        <f t="shared" si="6"/>
        <v>0</v>
      </c>
      <c r="AJ41" s="4">
        <f t="shared" si="7"/>
        <v>0</v>
      </c>
      <c r="AK41" s="4">
        <f t="shared" si="8"/>
        <v>0</v>
      </c>
    </row>
    <row r="42" spans="1:37" x14ac:dyDescent="0.25">
      <c r="A42" s="2">
        <v>37</v>
      </c>
      <c r="B42" s="2">
        <f>Annual_Report!B38</f>
        <v>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4">
        <f t="shared" si="5"/>
        <v>0</v>
      </c>
      <c r="AI42" s="4">
        <f t="shared" si="6"/>
        <v>0</v>
      </c>
      <c r="AJ42" s="4">
        <f t="shared" si="7"/>
        <v>0</v>
      </c>
      <c r="AK42" s="4">
        <f t="shared" si="8"/>
        <v>0</v>
      </c>
    </row>
    <row r="43" spans="1:37" x14ac:dyDescent="0.25">
      <c r="A43" s="2">
        <v>38</v>
      </c>
      <c r="B43" s="2">
        <f>Annual_Report!B39</f>
        <v>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4">
        <f t="shared" si="5"/>
        <v>0</v>
      </c>
      <c r="AI43" s="4">
        <f t="shared" si="6"/>
        <v>0</v>
      </c>
      <c r="AJ43" s="4">
        <f t="shared" si="7"/>
        <v>0</v>
      </c>
      <c r="AK43" s="4">
        <f t="shared" si="8"/>
        <v>0</v>
      </c>
    </row>
    <row r="44" spans="1:37" x14ac:dyDescent="0.25">
      <c r="A44" s="2">
        <v>39</v>
      </c>
      <c r="B44" s="2">
        <f>Annual_Report!B40</f>
        <v>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4">
        <f t="shared" si="5"/>
        <v>0</v>
      </c>
      <c r="AI44" s="4">
        <f t="shared" si="6"/>
        <v>0</v>
      </c>
      <c r="AJ44" s="4">
        <f t="shared" si="7"/>
        <v>0</v>
      </c>
      <c r="AK44" s="4">
        <f t="shared" si="8"/>
        <v>0</v>
      </c>
    </row>
    <row r="45" spans="1:37" x14ac:dyDescent="0.25">
      <c r="A45" s="2">
        <v>40</v>
      </c>
      <c r="B45" s="2">
        <f>Annual_Report!B41</f>
        <v>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4">
        <f t="shared" si="5"/>
        <v>0</v>
      </c>
      <c r="AI45" s="4">
        <f t="shared" si="6"/>
        <v>0</v>
      </c>
      <c r="AJ45" s="4">
        <f t="shared" si="7"/>
        <v>0</v>
      </c>
      <c r="AK45" s="4">
        <f t="shared" si="8"/>
        <v>0</v>
      </c>
    </row>
    <row r="46" spans="1:37" x14ac:dyDescent="0.25">
      <c r="A46" s="2">
        <v>41</v>
      </c>
      <c r="B46" s="2">
        <f>Annual_Report!B42</f>
        <v>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4">
        <f t="shared" si="5"/>
        <v>0</v>
      </c>
      <c r="AI46" s="4">
        <f t="shared" si="6"/>
        <v>0</v>
      </c>
      <c r="AJ46" s="4">
        <f t="shared" si="7"/>
        <v>0</v>
      </c>
      <c r="AK46" s="4">
        <f t="shared" si="8"/>
        <v>0</v>
      </c>
    </row>
    <row r="47" spans="1:37" x14ac:dyDescent="0.25">
      <c r="A47" s="2">
        <v>42</v>
      </c>
      <c r="B47" s="2">
        <f>Annual_Report!B43</f>
        <v>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4">
        <f t="shared" si="5"/>
        <v>0</v>
      </c>
      <c r="AI47" s="4">
        <f t="shared" si="6"/>
        <v>0</v>
      </c>
      <c r="AJ47" s="4">
        <f t="shared" si="7"/>
        <v>0</v>
      </c>
      <c r="AK47" s="4">
        <f t="shared" si="8"/>
        <v>0</v>
      </c>
    </row>
    <row r="48" spans="1:37" x14ac:dyDescent="0.25">
      <c r="A48" s="2">
        <v>43</v>
      </c>
      <c r="B48" s="2">
        <f>Annual_Report!B44</f>
        <v>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4">
        <f t="shared" si="5"/>
        <v>0</v>
      </c>
      <c r="AI48" s="4">
        <f t="shared" si="6"/>
        <v>0</v>
      </c>
      <c r="AJ48" s="4">
        <f t="shared" si="7"/>
        <v>0</v>
      </c>
      <c r="AK48" s="4">
        <f t="shared" si="8"/>
        <v>0</v>
      </c>
    </row>
    <row r="49" spans="1:37" x14ac:dyDescent="0.25">
      <c r="A49" s="2">
        <v>44</v>
      </c>
      <c r="B49" s="2">
        <f>Annual_Report!B45</f>
        <v>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4">
        <f t="shared" si="5"/>
        <v>0</v>
      </c>
      <c r="AI49" s="4">
        <f t="shared" si="6"/>
        <v>0</v>
      </c>
      <c r="AJ49" s="4">
        <f t="shared" si="7"/>
        <v>0</v>
      </c>
      <c r="AK49" s="4">
        <f t="shared" si="8"/>
        <v>0</v>
      </c>
    </row>
    <row r="50" spans="1:37" x14ac:dyDescent="0.25">
      <c r="A50" s="2">
        <v>45</v>
      </c>
      <c r="B50" s="2">
        <f>Annual_Report!B46</f>
        <v>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4">
        <f t="shared" si="5"/>
        <v>0</v>
      </c>
      <c r="AI50" s="4">
        <f t="shared" si="6"/>
        <v>0</v>
      </c>
      <c r="AJ50" s="4">
        <f t="shared" si="7"/>
        <v>0</v>
      </c>
      <c r="AK50" s="4">
        <f t="shared" si="8"/>
        <v>0</v>
      </c>
    </row>
    <row r="51" spans="1:37" x14ac:dyDescent="0.25">
      <c r="A51" s="2">
        <v>46</v>
      </c>
      <c r="B51" s="2">
        <f>Annual_Report!B47</f>
        <v>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4">
        <f t="shared" si="5"/>
        <v>0</v>
      </c>
      <c r="AI51" s="4">
        <f t="shared" si="6"/>
        <v>0</v>
      </c>
      <c r="AJ51" s="4">
        <f t="shared" si="7"/>
        <v>0</v>
      </c>
      <c r="AK51" s="4">
        <f t="shared" si="8"/>
        <v>0</v>
      </c>
    </row>
    <row r="52" spans="1:37" x14ac:dyDescent="0.25">
      <c r="A52" s="2">
        <v>47</v>
      </c>
      <c r="B52" s="2">
        <f>Annual_Report!B48</f>
        <v>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4">
        <f t="shared" si="5"/>
        <v>0</v>
      </c>
      <c r="AI52" s="4">
        <f t="shared" si="6"/>
        <v>0</v>
      </c>
      <c r="AJ52" s="4">
        <f t="shared" si="7"/>
        <v>0</v>
      </c>
      <c r="AK52" s="4">
        <f t="shared" si="8"/>
        <v>0</v>
      </c>
    </row>
    <row r="53" spans="1:37" x14ac:dyDescent="0.25">
      <c r="A53" s="2">
        <v>48</v>
      </c>
      <c r="B53" s="2">
        <f>Annual_Report!B49</f>
        <v>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4">
        <f t="shared" si="5"/>
        <v>0</v>
      </c>
      <c r="AI53" s="4">
        <f t="shared" si="6"/>
        <v>0</v>
      </c>
      <c r="AJ53" s="4">
        <f t="shared" si="7"/>
        <v>0</v>
      </c>
      <c r="AK53" s="4">
        <f t="shared" si="8"/>
        <v>0</v>
      </c>
    </row>
    <row r="54" spans="1:37" x14ac:dyDescent="0.25">
      <c r="A54" s="2">
        <v>49</v>
      </c>
      <c r="B54" s="2">
        <f>Annual_Report!B50</f>
        <v>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4">
        <f t="shared" si="5"/>
        <v>0</v>
      </c>
      <c r="AI54" s="4">
        <f t="shared" si="6"/>
        <v>0</v>
      </c>
      <c r="AJ54" s="4">
        <f t="shared" si="7"/>
        <v>0</v>
      </c>
      <c r="AK54" s="4">
        <f t="shared" si="8"/>
        <v>0</v>
      </c>
    </row>
    <row r="55" spans="1:37" x14ac:dyDescent="0.25">
      <c r="A55" s="2">
        <v>50</v>
      </c>
      <c r="B55" s="2">
        <f>Annual_Report!B51</f>
        <v>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4">
        <f t="shared" si="5"/>
        <v>0</v>
      </c>
      <c r="AI55" s="4">
        <f t="shared" si="6"/>
        <v>0</v>
      </c>
      <c r="AJ55" s="4">
        <f t="shared" si="7"/>
        <v>0</v>
      </c>
      <c r="AK55" s="4">
        <f t="shared" si="8"/>
        <v>0</v>
      </c>
    </row>
    <row r="56" spans="1:37" x14ac:dyDescent="0.25">
      <c r="A56" s="2">
        <v>51</v>
      </c>
      <c r="B56" s="2">
        <f>Annual_Report!B52</f>
        <v>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4">
        <f t="shared" si="5"/>
        <v>0</v>
      </c>
      <c r="AI56" s="4">
        <f t="shared" si="6"/>
        <v>0</v>
      </c>
      <c r="AJ56" s="4">
        <f t="shared" si="7"/>
        <v>0</v>
      </c>
      <c r="AK56" s="4">
        <f t="shared" si="8"/>
        <v>0</v>
      </c>
    </row>
    <row r="57" spans="1:37" x14ac:dyDescent="0.25">
      <c r="A57" s="2">
        <v>52</v>
      </c>
      <c r="B57" s="2">
        <f>Annual_Report!B53</f>
        <v>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4">
        <f t="shared" si="5"/>
        <v>0</v>
      </c>
      <c r="AI57" s="4">
        <f t="shared" si="6"/>
        <v>0</v>
      </c>
      <c r="AJ57" s="4">
        <f t="shared" si="7"/>
        <v>0</v>
      </c>
      <c r="AK57" s="4">
        <f t="shared" si="8"/>
        <v>0</v>
      </c>
    </row>
    <row r="58" spans="1:37" x14ac:dyDescent="0.25">
      <c r="A58" s="2">
        <v>53</v>
      </c>
      <c r="B58" s="2">
        <f>Annual_Report!B54</f>
        <v>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4">
        <f t="shared" si="5"/>
        <v>0</v>
      </c>
      <c r="AI58" s="4">
        <f t="shared" si="6"/>
        <v>0</v>
      </c>
      <c r="AJ58" s="4">
        <f t="shared" si="7"/>
        <v>0</v>
      </c>
      <c r="AK58" s="4">
        <f t="shared" si="8"/>
        <v>0</v>
      </c>
    </row>
    <row r="59" spans="1:37" x14ac:dyDescent="0.25">
      <c r="A59" s="2">
        <v>54</v>
      </c>
      <c r="B59" s="2">
        <f>Annual_Report!B55</f>
        <v>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4">
        <f t="shared" si="5"/>
        <v>0</v>
      </c>
      <c r="AI59" s="4">
        <f t="shared" si="6"/>
        <v>0</v>
      </c>
      <c r="AJ59" s="4">
        <f t="shared" si="7"/>
        <v>0</v>
      </c>
      <c r="AK59" s="4">
        <f t="shared" si="8"/>
        <v>0</v>
      </c>
    </row>
    <row r="60" spans="1:37" x14ac:dyDescent="0.25">
      <c r="A60" s="2">
        <v>55</v>
      </c>
      <c r="B60" s="2">
        <f>Annual_Report!B56</f>
        <v>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4">
        <f t="shared" si="5"/>
        <v>0</v>
      </c>
      <c r="AI60" s="4">
        <f t="shared" si="6"/>
        <v>0</v>
      </c>
      <c r="AJ60" s="4">
        <f t="shared" si="7"/>
        <v>0</v>
      </c>
      <c r="AK60" s="4">
        <f t="shared" si="8"/>
        <v>0</v>
      </c>
    </row>
    <row r="61" spans="1:37" x14ac:dyDescent="0.25">
      <c r="A61" s="2">
        <v>56</v>
      </c>
      <c r="B61" s="2">
        <f>Annual_Report!B57</f>
        <v>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4">
        <f t="shared" si="5"/>
        <v>0</v>
      </c>
      <c r="AI61" s="4">
        <f t="shared" si="6"/>
        <v>0</v>
      </c>
      <c r="AJ61" s="4">
        <f t="shared" si="7"/>
        <v>0</v>
      </c>
      <c r="AK61" s="4">
        <f t="shared" si="8"/>
        <v>0</v>
      </c>
    </row>
    <row r="62" spans="1:37" x14ac:dyDescent="0.25">
      <c r="A62" s="2">
        <v>57</v>
      </c>
      <c r="B62" s="2">
        <f>Annual_Report!B58</f>
        <v>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4">
        <f t="shared" si="5"/>
        <v>0</v>
      </c>
      <c r="AI62" s="4">
        <f t="shared" si="6"/>
        <v>0</v>
      </c>
      <c r="AJ62" s="4">
        <f t="shared" si="7"/>
        <v>0</v>
      </c>
      <c r="AK62" s="4">
        <f t="shared" si="8"/>
        <v>0</v>
      </c>
    </row>
    <row r="63" spans="1:37" x14ac:dyDescent="0.25">
      <c r="A63" s="2">
        <v>58</v>
      </c>
      <c r="B63" s="2">
        <f>Annual_Report!B59</f>
        <v>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4">
        <f t="shared" si="5"/>
        <v>0</v>
      </c>
      <c r="AI63" s="4">
        <f t="shared" si="6"/>
        <v>0</v>
      </c>
      <c r="AJ63" s="4">
        <f t="shared" si="7"/>
        <v>0</v>
      </c>
      <c r="AK63" s="4">
        <f t="shared" si="8"/>
        <v>0</v>
      </c>
    </row>
    <row r="64" spans="1:37" x14ac:dyDescent="0.25">
      <c r="A64" s="2">
        <v>59</v>
      </c>
      <c r="B64" s="2">
        <f>Annual_Report!B60</f>
        <v>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4">
        <f t="shared" si="5"/>
        <v>0</v>
      </c>
      <c r="AI64" s="4">
        <f t="shared" si="6"/>
        <v>0</v>
      </c>
      <c r="AJ64" s="4">
        <f t="shared" si="7"/>
        <v>0</v>
      </c>
      <c r="AK64" s="4">
        <f t="shared" si="8"/>
        <v>0</v>
      </c>
    </row>
    <row r="65" spans="1:37" x14ac:dyDescent="0.25">
      <c r="A65" s="2">
        <v>60</v>
      </c>
      <c r="B65" s="2">
        <f>Annual_Report!B61</f>
        <v>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4">
        <f t="shared" si="5"/>
        <v>0</v>
      </c>
      <c r="AI65" s="4">
        <f t="shared" si="6"/>
        <v>0</v>
      </c>
      <c r="AJ65" s="4">
        <f t="shared" si="7"/>
        <v>0</v>
      </c>
      <c r="AK65" s="4">
        <f t="shared" si="8"/>
        <v>0</v>
      </c>
    </row>
    <row r="66" spans="1:37" x14ac:dyDescent="0.25">
      <c r="A66" s="2">
        <v>61</v>
      </c>
      <c r="B66" s="2">
        <f>Annual_Report!B62</f>
        <v>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4">
        <f t="shared" si="5"/>
        <v>0</v>
      </c>
      <c r="AI66" s="4">
        <f t="shared" si="6"/>
        <v>0</v>
      </c>
      <c r="AJ66" s="4">
        <f t="shared" si="7"/>
        <v>0</v>
      </c>
      <c r="AK66" s="4">
        <f t="shared" si="8"/>
        <v>0</v>
      </c>
    </row>
    <row r="67" spans="1:37" x14ac:dyDescent="0.25">
      <c r="A67" s="2">
        <v>62</v>
      </c>
      <c r="B67" s="2">
        <f>Annual_Report!B63</f>
        <v>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4">
        <f t="shared" si="5"/>
        <v>0</v>
      </c>
      <c r="AI67" s="4">
        <f t="shared" si="6"/>
        <v>0</v>
      </c>
      <c r="AJ67" s="4">
        <f t="shared" si="7"/>
        <v>0</v>
      </c>
      <c r="AK67" s="4">
        <f t="shared" si="8"/>
        <v>0</v>
      </c>
    </row>
    <row r="68" spans="1:37" x14ac:dyDescent="0.25">
      <c r="A68" s="2">
        <v>63</v>
      </c>
      <c r="B68" s="2">
        <f>Annual_Report!B64</f>
        <v>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4">
        <f t="shared" si="5"/>
        <v>0</v>
      </c>
      <c r="AI68" s="4">
        <f t="shared" si="6"/>
        <v>0</v>
      </c>
      <c r="AJ68" s="4">
        <f t="shared" si="7"/>
        <v>0</v>
      </c>
      <c r="AK68" s="4">
        <f t="shared" si="8"/>
        <v>0</v>
      </c>
    </row>
    <row r="69" spans="1:37" x14ac:dyDescent="0.25">
      <c r="A69" s="2">
        <v>64</v>
      </c>
      <c r="B69" s="2">
        <f>Annual_Report!B65</f>
        <v>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4">
        <f t="shared" si="5"/>
        <v>0</v>
      </c>
      <c r="AI69" s="4">
        <f t="shared" si="6"/>
        <v>0</v>
      </c>
      <c r="AJ69" s="4">
        <f t="shared" si="7"/>
        <v>0</v>
      </c>
      <c r="AK69" s="4">
        <f t="shared" si="8"/>
        <v>0</v>
      </c>
    </row>
    <row r="70" spans="1:37" x14ac:dyDescent="0.25">
      <c r="A70" s="2">
        <v>65</v>
      </c>
      <c r="B70" s="2">
        <f>Annual_Report!B66</f>
        <v>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4">
        <f t="shared" ref="AH70:AH105" si="9">COUNTIF($C70:$AG70, "ح")</f>
        <v>0</v>
      </c>
      <c r="AI70" s="4">
        <f t="shared" ref="AI70:AI105" si="10">COUNTIF($C70:$AG70, "غ")</f>
        <v>0</v>
      </c>
      <c r="AJ70" s="4">
        <f t="shared" ref="AJ70:AJ105" si="11">COUNTIF($C70:$AG70, "ج")</f>
        <v>0</v>
      </c>
      <c r="AK70" s="4">
        <f t="shared" ref="AK70:AK105" si="12">COUNTIF($C70:$AG70, "م")</f>
        <v>0</v>
      </c>
    </row>
    <row r="71" spans="1:37" x14ac:dyDescent="0.25">
      <c r="A71" s="2">
        <v>66</v>
      </c>
      <c r="B71" s="2">
        <f>Annual_Report!B67</f>
        <v>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4">
        <f t="shared" si="9"/>
        <v>0</v>
      </c>
      <c r="AI71" s="4">
        <f t="shared" si="10"/>
        <v>0</v>
      </c>
      <c r="AJ71" s="4">
        <f t="shared" si="11"/>
        <v>0</v>
      </c>
      <c r="AK71" s="4">
        <f t="shared" si="12"/>
        <v>0</v>
      </c>
    </row>
    <row r="72" spans="1:37" x14ac:dyDescent="0.25">
      <c r="A72" s="2">
        <v>67</v>
      </c>
      <c r="B72" s="2">
        <f>Annual_Report!B68</f>
        <v>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4">
        <f t="shared" si="9"/>
        <v>0</v>
      </c>
      <c r="AI72" s="4">
        <f t="shared" si="10"/>
        <v>0</v>
      </c>
      <c r="AJ72" s="4">
        <f t="shared" si="11"/>
        <v>0</v>
      </c>
      <c r="AK72" s="4">
        <f t="shared" si="12"/>
        <v>0</v>
      </c>
    </row>
    <row r="73" spans="1:37" x14ac:dyDescent="0.25">
      <c r="A73" s="2">
        <v>68</v>
      </c>
      <c r="B73" s="2">
        <f>Annual_Report!B69</f>
        <v>0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4">
        <f t="shared" si="9"/>
        <v>0</v>
      </c>
      <c r="AI73" s="4">
        <f t="shared" si="10"/>
        <v>0</v>
      </c>
      <c r="AJ73" s="4">
        <f t="shared" si="11"/>
        <v>0</v>
      </c>
      <c r="AK73" s="4">
        <f t="shared" si="12"/>
        <v>0</v>
      </c>
    </row>
    <row r="74" spans="1:37" x14ac:dyDescent="0.25">
      <c r="A74" s="2">
        <v>69</v>
      </c>
      <c r="B74" s="2">
        <f>Annual_Report!B70</f>
        <v>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4">
        <f t="shared" si="9"/>
        <v>0</v>
      </c>
      <c r="AI74" s="4">
        <f t="shared" si="10"/>
        <v>0</v>
      </c>
      <c r="AJ74" s="4">
        <f t="shared" si="11"/>
        <v>0</v>
      </c>
      <c r="AK74" s="4">
        <f t="shared" si="12"/>
        <v>0</v>
      </c>
    </row>
    <row r="75" spans="1:37" x14ac:dyDescent="0.25">
      <c r="A75" s="2">
        <v>70</v>
      </c>
      <c r="B75" s="2">
        <f>Annual_Report!B71</f>
        <v>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4">
        <f t="shared" si="9"/>
        <v>0</v>
      </c>
      <c r="AI75" s="4">
        <f t="shared" si="10"/>
        <v>0</v>
      </c>
      <c r="AJ75" s="4">
        <f t="shared" si="11"/>
        <v>0</v>
      </c>
      <c r="AK75" s="4">
        <f t="shared" si="12"/>
        <v>0</v>
      </c>
    </row>
    <row r="76" spans="1:37" x14ac:dyDescent="0.25">
      <c r="A76" s="2">
        <v>71</v>
      </c>
      <c r="B76" s="2">
        <f>Annual_Report!B72</f>
        <v>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4">
        <f t="shared" si="9"/>
        <v>0</v>
      </c>
      <c r="AI76" s="4">
        <f t="shared" si="10"/>
        <v>0</v>
      </c>
      <c r="AJ76" s="4">
        <f t="shared" si="11"/>
        <v>0</v>
      </c>
      <c r="AK76" s="4">
        <f t="shared" si="12"/>
        <v>0</v>
      </c>
    </row>
    <row r="77" spans="1:37" x14ac:dyDescent="0.25">
      <c r="A77" s="2">
        <v>72</v>
      </c>
      <c r="B77" s="2">
        <f>Annual_Report!B73</f>
        <v>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4">
        <f t="shared" si="9"/>
        <v>0</v>
      </c>
      <c r="AI77" s="4">
        <f t="shared" si="10"/>
        <v>0</v>
      </c>
      <c r="AJ77" s="4">
        <f t="shared" si="11"/>
        <v>0</v>
      </c>
      <c r="AK77" s="4">
        <f t="shared" si="12"/>
        <v>0</v>
      </c>
    </row>
    <row r="78" spans="1:37" x14ac:dyDescent="0.25">
      <c r="A78" s="2">
        <v>73</v>
      </c>
      <c r="B78" s="2">
        <f>Annual_Report!B74</f>
        <v>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4">
        <f t="shared" si="9"/>
        <v>0</v>
      </c>
      <c r="AI78" s="4">
        <f t="shared" si="10"/>
        <v>0</v>
      </c>
      <c r="AJ78" s="4">
        <f t="shared" si="11"/>
        <v>0</v>
      </c>
      <c r="AK78" s="4">
        <f t="shared" si="12"/>
        <v>0</v>
      </c>
    </row>
    <row r="79" spans="1:37" x14ac:dyDescent="0.25">
      <c r="A79" s="2">
        <v>74</v>
      </c>
      <c r="B79" s="2">
        <f>Annual_Report!B75</f>
        <v>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4">
        <f t="shared" si="9"/>
        <v>0</v>
      </c>
      <c r="AI79" s="4">
        <f t="shared" si="10"/>
        <v>0</v>
      </c>
      <c r="AJ79" s="4">
        <f t="shared" si="11"/>
        <v>0</v>
      </c>
      <c r="AK79" s="4">
        <f t="shared" si="12"/>
        <v>0</v>
      </c>
    </row>
    <row r="80" spans="1:37" x14ac:dyDescent="0.25">
      <c r="A80" s="2">
        <v>75</v>
      </c>
      <c r="B80" s="2">
        <f>Annual_Report!B76</f>
        <v>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4">
        <f t="shared" si="9"/>
        <v>0</v>
      </c>
      <c r="AI80" s="4">
        <f t="shared" si="10"/>
        <v>0</v>
      </c>
      <c r="AJ80" s="4">
        <f t="shared" si="11"/>
        <v>0</v>
      </c>
      <c r="AK80" s="4">
        <f t="shared" si="12"/>
        <v>0</v>
      </c>
    </row>
    <row r="81" spans="1:37" x14ac:dyDescent="0.25">
      <c r="A81" s="2">
        <v>76</v>
      </c>
      <c r="B81" s="2">
        <f>Annual_Report!B77</f>
        <v>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4">
        <f t="shared" si="9"/>
        <v>0</v>
      </c>
      <c r="AI81" s="4">
        <f t="shared" si="10"/>
        <v>0</v>
      </c>
      <c r="AJ81" s="4">
        <f t="shared" si="11"/>
        <v>0</v>
      </c>
      <c r="AK81" s="4">
        <f t="shared" si="12"/>
        <v>0</v>
      </c>
    </row>
    <row r="82" spans="1:37" x14ac:dyDescent="0.25">
      <c r="A82" s="2">
        <v>77</v>
      </c>
      <c r="B82" s="2">
        <f>Annual_Report!B78</f>
        <v>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4">
        <f t="shared" si="9"/>
        <v>0</v>
      </c>
      <c r="AI82" s="4">
        <f t="shared" si="10"/>
        <v>0</v>
      </c>
      <c r="AJ82" s="4">
        <f t="shared" si="11"/>
        <v>0</v>
      </c>
      <c r="AK82" s="4">
        <f t="shared" si="12"/>
        <v>0</v>
      </c>
    </row>
    <row r="83" spans="1:37" x14ac:dyDescent="0.25">
      <c r="A83" s="2">
        <v>78</v>
      </c>
      <c r="B83" s="2">
        <f>Annual_Report!B79</f>
        <v>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4">
        <f t="shared" si="9"/>
        <v>0</v>
      </c>
      <c r="AI83" s="4">
        <f t="shared" si="10"/>
        <v>0</v>
      </c>
      <c r="AJ83" s="4">
        <f t="shared" si="11"/>
        <v>0</v>
      </c>
      <c r="AK83" s="4">
        <f t="shared" si="12"/>
        <v>0</v>
      </c>
    </row>
    <row r="84" spans="1:37" x14ac:dyDescent="0.25">
      <c r="A84" s="2">
        <v>79</v>
      </c>
      <c r="B84" s="2">
        <f>Annual_Report!B80</f>
        <v>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4">
        <f t="shared" si="9"/>
        <v>0</v>
      </c>
      <c r="AI84" s="4">
        <f t="shared" si="10"/>
        <v>0</v>
      </c>
      <c r="AJ84" s="4">
        <f t="shared" si="11"/>
        <v>0</v>
      </c>
      <c r="AK84" s="4">
        <f t="shared" si="12"/>
        <v>0</v>
      </c>
    </row>
    <row r="85" spans="1:37" x14ac:dyDescent="0.25">
      <c r="A85" s="2">
        <v>80</v>
      </c>
      <c r="B85" s="2">
        <f>Annual_Report!B81</f>
        <v>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4">
        <f t="shared" si="9"/>
        <v>0</v>
      </c>
      <c r="AI85" s="4">
        <f t="shared" si="10"/>
        <v>0</v>
      </c>
      <c r="AJ85" s="4">
        <f t="shared" si="11"/>
        <v>0</v>
      </c>
      <c r="AK85" s="4">
        <f t="shared" si="12"/>
        <v>0</v>
      </c>
    </row>
    <row r="86" spans="1:37" x14ac:dyDescent="0.25">
      <c r="A86" s="2">
        <v>81</v>
      </c>
      <c r="B86" s="2">
        <f>Annual_Report!B82</f>
        <v>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4">
        <f t="shared" si="9"/>
        <v>0</v>
      </c>
      <c r="AI86" s="4">
        <f t="shared" si="10"/>
        <v>0</v>
      </c>
      <c r="AJ86" s="4">
        <f t="shared" si="11"/>
        <v>0</v>
      </c>
      <c r="AK86" s="4">
        <f t="shared" si="12"/>
        <v>0</v>
      </c>
    </row>
    <row r="87" spans="1:37" x14ac:dyDescent="0.25">
      <c r="A87" s="2">
        <v>82</v>
      </c>
      <c r="B87" s="2">
        <f>Annual_Report!B83</f>
        <v>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4">
        <f t="shared" si="9"/>
        <v>0</v>
      </c>
      <c r="AI87" s="4">
        <f t="shared" si="10"/>
        <v>0</v>
      </c>
      <c r="AJ87" s="4">
        <f t="shared" si="11"/>
        <v>0</v>
      </c>
      <c r="AK87" s="4">
        <f t="shared" si="12"/>
        <v>0</v>
      </c>
    </row>
    <row r="88" spans="1:37" x14ac:dyDescent="0.25">
      <c r="A88" s="2">
        <v>83</v>
      </c>
      <c r="B88" s="2">
        <f>Annual_Report!B84</f>
        <v>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4">
        <f t="shared" si="9"/>
        <v>0</v>
      </c>
      <c r="AI88" s="4">
        <f t="shared" si="10"/>
        <v>0</v>
      </c>
      <c r="AJ88" s="4">
        <f t="shared" si="11"/>
        <v>0</v>
      </c>
      <c r="AK88" s="4">
        <f t="shared" si="12"/>
        <v>0</v>
      </c>
    </row>
    <row r="89" spans="1:37" x14ac:dyDescent="0.25">
      <c r="A89" s="2">
        <v>84</v>
      </c>
      <c r="B89" s="2">
        <f>Annual_Report!B85</f>
        <v>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4">
        <f t="shared" si="9"/>
        <v>0</v>
      </c>
      <c r="AI89" s="4">
        <f t="shared" si="10"/>
        <v>0</v>
      </c>
      <c r="AJ89" s="4">
        <f t="shared" si="11"/>
        <v>0</v>
      </c>
      <c r="AK89" s="4">
        <f t="shared" si="12"/>
        <v>0</v>
      </c>
    </row>
    <row r="90" spans="1:37" x14ac:dyDescent="0.25">
      <c r="A90" s="2">
        <v>85</v>
      </c>
      <c r="B90" s="2">
        <f>Annual_Report!B86</f>
        <v>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4">
        <f t="shared" si="9"/>
        <v>0</v>
      </c>
      <c r="AI90" s="4">
        <f t="shared" si="10"/>
        <v>0</v>
      </c>
      <c r="AJ90" s="4">
        <f t="shared" si="11"/>
        <v>0</v>
      </c>
      <c r="AK90" s="4">
        <f t="shared" si="12"/>
        <v>0</v>
      </c>
    </row>
    <row r="91" spans="1:37" x14ac:dyDescent="0.25">
      <c r="A91" s="2">
        <v>86</v>
      </c>
      <c r="B91" s="2">
        <f>Annual_Report!B87</f>
        <v>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4">
        <f t="shared" si="9"/>
        <v>0</v>
      </c>
      <c r="AI91" s="4">
        <f t="shared" si="10"/>
        <v>0</v>
      </c>
      <c r="AJ91" s="4">
        <f t="shared" si="11"/>
        <v>0</v>
      </c>
      <c r="AK91" s="4">
        <f t="shared" si="12"/>
        <v>0</v>
      </c>
    </row>
    <row r="92" spans="1:37" x14ac:dyDescent="0.25">
      <c r="A92" s="2">
        <v>87</v>
      </c>
      <c r="B92" s="2">
        <f>Annual_Report!B88</f>
        <v>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4">
        <f t="shared" si="9"/>
        <v>0</v>
      </c>
      <c r="AI92" s="4">
        <f t="shared" si="10"/>
        <v>0</v>
      </c>
      <c r="AJ92" s="4">
        <f t="shared" si="11"/>
        <v>0</v>
      </c>
      <c r="AK92" s="4">
        <f t="shared" si="12"/>
        <v>0</v>
      </c>
    </row>
    <row r="93" spans="1:37" x14ac:dyDescent="0.25">
      <c r="A93" s="2">
        <v>88</v>
      </c>
      <c r="B93" s="2">
        <f>Annual_Report!B89</f>
        <v>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4">
        <f t="shared" si="9"/>
        <v>0</v>
      </c>
      <c r="AI93" s="4">
        <f t="shared" si="10"/>
        <v>0</v>
      </c>
      <c r="AJ93" s="4">
        <f t="shared" si="11"/>
        <v>0</v>
      </c>
      <c r="AK93" s="4">
        <f t="shared" si="12"/>
        <v>0</v>
      </c>
    </row>
    <row r="94" spans="1:37" x14ac:dyDescent="0.25">
      <c r="A94" s="2">
        <v>89</v>
      </c>
      <c r="B94" s="2">
        <f>Annual_Report!B90</f>
        <v>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4">
        <f t="shared" si="9"/>
        <v>0</v>
      </c>
      <c r="AI94" s="4">
        <f t="shared" si="10"/>
        <v>0</v>
      </c>
      <c r="AJ94" s="4">
        <f t="shared" si="11"/>
        <v>0</v>
      </c>
      <c r="AK94" s="4">
        <f t="shared" si="12"/>
        <v>0</v>
      </c>
    </row>
    <row r="95" spans="1:37" x14ac:dyDescent="0.25">
      <c r="A95" s="2">
        <v>90</v>
      </c>
      <c r="B95" s="2">
        <f>Annual_Report!B91</f>
        <v>0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4">
        <f t="shared" si="9"/>
        <v>0</v>
      </c>
      <c r="AI95" s="4">
        <f t="shared" si="10"/>
        <v>0</v>
      </c>
      <c r="AJ95" s="4">
        <f t="shared" si="11"/>
        <v>0</v>
      </c>
      <c r="AK95" s="4">
        <f t="shared" si="12"/>
        <v>0</v>
      </c>
    </row>
    <row r="96" spans="1:37" x14ac:dyDescent="0.25">
      <c r="A96" s="2">
        <v>91</v>
      </c>
      <c r="B96" s="2">
        <f>Annual_Report!B92</f>
        <v>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4">
        <f t="shared" si="9"/>
        <v>0</v>
      </c>
      <c r="AI96" s="4">
        <f t="shared" si="10"/>
        <v>0</v>
      </c>
      <c r="AJ96" s="4">
        <f t="shared" si="11"/>
        <v>0</v>
      </c>
      <c r="AK96" s="4">
        <f t="shared" si="12"/>
        <v>0</v>
      </c>
    </row>
    <row r="97" spans="1:37" x14ac:dyDescent="0.25">
      <c r="A97" s="2">
        <v>92</v>
      </c>
      <c r="B97" s="2">
        <f>Annual_Report!B93</f>
        <v>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4">
        <f t="shared" si="9"/>
        <v>0</v>
      </c>
      <c r="AI97" s="4">
        <f t="shared" si="10"/>
        <v>0</v>
      </c>
      <c r="AJ97" s="4">
        <f t="shared" si="11"/>
        <v>0</v>
      </c>
      <c r="AK97" s="4">
        <f t="shared" si="12"/>
        <v>0</v>
      </c>
    </row>
    <row r="98" spans="1:37" x14ac:dyDescent="0.25">
      <c r="A98" s="2">
        <v>93</v>
      </c>
      <c r="B98" s="2">
        <f>Annual_Report!B94</f>
        <v>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4">
        <f t="shared" si="9"/>
        <v>0</v>
      </c>
      <c r="AI98" s="4">
        <f t="shared" si="10"/>
        <v>0</v>
      </c>
      <c r="AJ98" s="4">
        <f t="shared" si="11"/>
        <v>0</v>
      </c>
      <c r="AK98" s="4">
        <f t="shared" si="12"/>
        <v>0</v>
      </c>
    </row>
    <row r="99" spans="1:37" x14ac:dyDescent="0.25">
      <c r="A99" s="2">
        <v>94</v>
      </c>
      <c r="B99" s="2">
        <f>Annual_Report!B95</f>
        <v>0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4">
        <f t="shared" si="9"/>
        <v>0</v>
      </c>
      <c r="AI99" s="4">
        <f t="shared" si="10"/>
        <v>0</v>
      </c>
      <c r="AJ99" s="4">
        <f t="shared" si="11"/>
        <v>0</v>
      </c>
      <c r="AK99" s="4">
        <f t="shared" si="12"/>
        <v>0</v>
      </c>
    </row>
    <row r="100" spans="1:37" x14ac:dyDescent="0.25">
      <c r="A100" s="2">
        <v>95</v>
      </c>
      <c r="B100" s="2">
        <f>Annual_Report!B96</f>
        <v>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4">
        <f t="shared" si="9"/>
        <v>0</v>
      </c>
      <c r="AI100" s="4">
        <f t="shared" si="10"/>
        <v>0</v>
      </c>
      <c r="AJ100" s="4">
        <f t="shared" si="11"/>
        <v>0</v>
      </c>
      <c r="AK100" s="4">
        <f t="shared" si="12"/>
        <v>0</v>
      </c>
    </row>
    <row r="101" spans="1:37" x14ac:dyDescent="0.25">
      <c r="A101" s="2">
        <v>96</v>
      </c>
      <c r="B101" s="2">
        <f>Annual_Report!B97</f>
        <v>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4">
        <f t="shared" si="9"/>
        <v>0</v>
      </c>
      <c r="AI101" s="4">
        <f t="shared" si="10"/>
        <v>0</v>
      </c>
      <c r="AJ101" s="4">
        <f t="shared" si="11"/>
        <v>0</v>
      </c>
      <c r="AK101" s="4">
        <f t="shared" si="12"/>
        <v>0</v>
      </c>
    </row>
    <row r="102" spans="1:37" x14ac:dyDescent="0.25">
      <c r="A102" s="2">
        <v>97</v>
      </c>
      <c r="B102" s="2">
        <f>Annual_Report!B98</f>
        <v>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4">
        <f t="shared" si="9"/>
        <v>0</v>
      </c>
      <c r="AI102" s="4">
        <f t="shared" si="10"/>
        <v>0</v>
      </c>
      <c r="AJ102" s="4">
        <f t="shared" si="11"/>
        <v>0</v>
      </c>
      <c r="AK102" s="4">
        <f t="shared" si="12"/>
        <v>0</v>
      </c>
    </row>
    <row r="103" spans="1:37" x14ac:dyDescent="0.25">
      <c r="A103" s="2">
        <v>98</v>
      </c>
      <c r="B103" s="2">
        <f>Annual_Report!B99</f>
        <v>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4">
        <f t="shared" si="9"/>
        <v>0</v>
      </c>
      <c r="AI103" s="4">
        <f t="shared" si="10"/>
        <v>0</v>
      </c>
      <c r="AJ103" s="4">
        <f t="shared" si="11"/>
        <v>0</v>
      </c>
      <c r="AK103" s="4">
        <f t="shared" si="12"/>
        <v>0</v>
      </c>
    </row>
    <row r="104" spans="1:37" x14ac:dyDescent="0.25">
      <c r="A104" s="2">
        <v>99</v>
      </c>
      <c r="B104" s="2">
        <f>Annual_Report!B100</f>
        <v>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4">
        <f t="shared" si="9"/>
        <v>0</v>
      </c>
      <c r="AI104" s="4">
        <f t="shared" si="10"/>
        <v>0</v>
      </c>
      <c r="AJ104" s="4">
        <f t="shared" si="11"/>
        <v>0</v>
      </c>
      <c r="AK104" s="4">
        <f t="shared" si="12"/>
        <v>0</v>
      </c>
    </row>
    <row r="105" spans="1:37" x14ac:dyDescent="0.25">
      <c r="A105" s="2">
        <v>100</v>
      </c>
      <c r="B105" s="2">
        <f>Annual_Report!B101</f>
        <v>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4">
        <f t="shared" si="9"/>
        <v>0</v>
      </c>
      <c r="AI105" s="4">
        <f t="shared" si="10"/>
        <v>0</v>
      </c>
      <c r="AJ105" s="4">
        <f t="shared" si="11"/>
        <v>0</v>
      </c>
      <c r="AK105" s="4">
        <f t="shared" si="12"/>
        <v>0</v>
      </c>
    </row>
  </sheetData>
  <conditionalFormatting sqref="C6:AG105">
    <cfRule type="cellIs" dxfId="35" priority="1" stopIfTrue="1" operator="equal">
      <formula>"ح"</formula>
    </cfRule>
    <cfRule type="cellIs" dxfId="34" priority="2" stopIfTrue="1" operator="equal">
      <formula>"غ"</formula>
    </cfRule>
    <cfRule type="cellIs" dxfId="33" priority="3" stopIfTrue="1" operator="equal">
      <formula>"ج"</formula>
    </cfRule>
    <cfRule type="cellIs" dxfId="32" priority="4" stopIfTrue="1" operator="equal">
      <formula>"م"</formula>
    </cfRule>
    <cfRule type="cellIs" dxfId="31" priority="5" stopIfTrue="1" operator="equal">
      <formula>"ج"</formula>
    </cfRule>
    <cfRule type="cellIs" dxfId="30" priority="6" stopIfTrue="1" operator="equal">
      <formula>"م"</formula>
    </cfRule>
  </conditionalFormatting>
  <dataValidations count="1">
    <dataValidation type="list" allowBlank="1" showErrorMessage="1" errorTitle="خطأ في الإدخال" error="يرجى استخدام الحروف الصحيحة: ح - غ - ج - م" sqref="C6:AG105" xr:uid="{0E8B5206-F34B-4B4D-A75E-8FCC2327369C}">
      <formula1>"ح,غ,ج,م"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3DAA3-FDE1-4C88-9C83-858053330CC0}">
  <sheetPr codeName="Sheet88"/>
  <dimension ref="A1:AK105"/>
  <sheetViews>
    <sheetView rightToLeft="1" workbookViewId="0"/>
  </sheetViews>
  <sheetFormatPr defaultRowHeight="15" x14ac:dyDescent="0.25"/>
  <cols>
    <col min="1" max="1" width="4.7109375" customWidth="1"/>
    <col min="2" max="2" width="25.7109375" customWidth="1"/>
    <col min="3" max="33" width="4.7109375" customWidth="1"/>
    <col min="34" max="34" width="5.85546875" bestFit="1" customWidth="1"/>
    <col min="35" max="35" width="4.7109375" bestFit="1" customWidth="1"/>
    <col min="36" max="36" width="4.5703125" bestFit="1" customWidth="1"/>
    <col min="37" max="37" width="6" bestFit="1" customWidth="1"/>
  </cols>
  <sheetData>
    <row r="1" spans="1:37" x14ac:dyDescent="0.25">
      <c r="A1" s="6"/>
      <c r="B1" s="6"/>
      <c r="C1" s="5" t="s">
        <v>9</v>
      </c>
      <c r="D1" s="5" t="s">
        <v>0</v>
      </c>
      <c r="E1" s="5" t="s">
        <v>1</v>
      </c>
      <c r="F1" s="5" t="s">
        <v>10</v>
      </c>
      <c r="G1" s="5" t="s">
        <v>11</v>
      </c>
    </row>
    <row r="2" spans="1:37" x14ac:dyDescent="0.25">
      <c r="A2" s="6"/>
      <c r="B2" s="6"/>
      <c r="C2" s="5" t="s">
        <v>12</v>
      </c>
      <c r="D2" s="5" t="s">
        <v>6</v>
      </c>
      <c r="E2" s="5" t="s">
        <v>7</v>
      </c>
      <c r="F2" s="5" t="s">
        <v>8</v>
      </c>
      <c r="G2" s="5" t="s">
        <v>2</v>
      </c>
    </row>
    <row r="4" spans="1:37" ht="65.099999999999994" customHeight="1" x14ac:dyDescent="0.25">
      <c r="A4" s="2" t="s">
        <v>2</v>
      </c>
      <c r="B4" s="2" t="s">
        <v>3</v>
      </c>
      <c r="C4" s="1" t="str">
        <f>CHOOSE(WEEKDAY(C5), "الأحد","الاثنين","الثلاثاء","الأربعاء","الخميس","الجمعة","السبت")</f>
        <v>السبت</v>
      </c>
      <c r="D4" s="1" t="str">
        <f t="shared" ref="D4:AG4" si="0">CHOOSE(WEEKDAY(D5), "الأحد","الاثنين","الثلاثاء","الأربعاء","الخميس","الجمعة","السبت")</f>
        <v>الأحد</v>
      </c>
      <c r="E4" s="1" t="str">
        <f t="shared" si="0"/>
        <v>الاثنين</v>
      </c>
      <c r="F4" s="1" t="str">
        <f t="shared" si="0"/>
        <v>الثلاثاء</v>
      </c>
      <c r="G4" s="1" t="str">
        <f t="shared" si="0"/>
        <v>الأربعاء</v>
      </c>
      <c r="H4" s="1" t="str">
        <f t="shared" si="0"/>
        <v>الخميس</v>
      </c>
      <c r="I4" s="1" t="str">
        <f t="shared" si="0"/>
        <v>الجمعة</v>
      </c>
      <c r="J4" s="1" t="str">
        <f t="shared" si="0"/>
        <v>السبت</v>
      </c>
      <c r="K4" s="1" t="str">
        <f t="shared" si="0"/>
        <v>الأحد</v>
      </c>
      <c r="L4" s="1" t="str">
        <f t="shared" si="0"/>
        <v>الاثنين</v>
      </c>
      <c r="M4" s="1" t="str">
        <f t="shared" si="0"/>
        <v>الثلاثاء</v>
      </c>
      <c r="N4" s="1" t="str">
        <f t="shared" si="0"/>
        <v>الأربعاء</v>
      </c>
      <c r="O4" s="1" t="str">
        <f t="shared" si="0"/>
        <v>الخميس</v>
      </c>
      <c r="P4" s="1" t="str">
        <f t="shared" si="0"/>
        <v>الجمعة</v>
      </c>
      <c r="Q4" s="1" t="str">
        <f t="shared" si="0"/>
        <v>السبت</v>
      </c>
      <c r="R4" s="1" t="str">
        <f t="shared" si="0"/>
        <v>الأحد</v>
      </c>
      <c r="S4" s="1" t="str">
        <f t="shared" si="0"/>
        <v>الاثنين</v>
      </c>
      <c r="T4" s="1" t="str">
        <f t="shared" si="0"/>
        <v>الثلاثاء</v>
      </c>
      <c r="U4" s="1" t="str">
        <f t="shared" si="0"/>
        <v>الأربعاء</v>
      </c>
      <c r="V4" s="1" t="str">
        <f t="shared" si="0"/>
        <v>الخميس</v>
      </c>
      <c r="W4" s="1" t="str">
        <f t="shared" si="0"/>
        <v>الجمعة</v>
      </c>
      <c r="X4" s="1" t="str">
        <f t="shared" si="0"/>
        <v>السبت</v>
      </c>
      <c r="Y4" s="1" t="str">
        <f t="shared" si="0"/>
        <v>الأحد</v>
      </c>
      <c r="Z4" s="1" t="str">
        <f t="shared" si="0"/>
        <v>الاثنين</v>
      </c>
      <c r="AA4" s="1" t="str">
        <f t="shared" si="0"/>
        <v>الثلاثاء</v>
      </c>
      <c r="AB4" s="1" t="str">
        <f t="shared" si="0"/>
        <v>الأربعاء</v>
      </c>
      <c r="AC4" s="1" t="str">
        <f t="shared" si="0"/>
        <v>الخميس</v>
      </c>
      <c r="AD4" s="1" t="str">
        <f t="shared" si="0"/>
        <v>الجمعة</v>
      </c>
      <c r="AE4" s="1" t="str">
        <f t="shared" si="0"/>
        <v>السبت</v>
      </c>
      <c r="AF4" s="1" t="str">
        <f t="shared" si="0"/>
        <v>الأحد</v>
      </c>
      <c r="AG4" s="1" t="str">
        <f t="shared" si="0"/>
        <v>الاثنين</v>
      </c>
      <c r="AH4" s="9" t="s">
        <v>0</v>
      </c>
      <c r="AI4" s="9" t="s">
        <v>1</v>
      </c>
      <c r="AJ4" s="9" t="s">
        <v>10</v>
      </c>
      <c r="AK4" s="9" t="s">
        <v>11</v>
      </c>
    </row>
    <row r="5" spans="1:37" x14ac:dyDescent="0.25">
      <c r="A5" s="2"/>
      <c r="B5" s="2"/>
      <c r="C5" s="3" cm="1">
        <f t="array" ref="C5:AG5">_xlfn.SEQUENCE(1, DAY(EOMONTH(DATE(2026,8,1),0)), DATE(2026,8,1))</f>
        <v>46235</v>
      </c>
      <c r="D5" s="3">
        <v>46236</v>
      </c>
      <c r="E5" s="3">
        <v>46237</v>
      </c>
      <c r="F5" s="3">
        <v>46238</v>
      </c>
      <c r="G5" s="3">
        <v>46239</v>
      </c>
      <c r="H5" s="3">
        <v>46240</v>
      </c>
      <c r="I5" s="3">
        <v>46241</v>
      </c>
      <c r="J5" s="3">
        <v>46242</v>
      </c>
      <c r="K5" s="3">
        <v>46243</v>
      </c>
      <c r="L5" s="3">
        <v>46244</v>
      </c>
      <c r="M5" s="3">
        <v>46245</v>
      </c>
      <c r="N5" s="3">
        <v>46246</v>
      </c>
      <c r="O5" s="3">
        <v>46247</v>
      </c>
      <c r="P5" s="3">
        <v>46248</v>
      </c>
      <c r="Q5" s="3">
        <v>46249</v>
      </c>
      <c r="R5" s="3">
        <v>46250</v>
      </c>
      <c r="S5" s="3">
        <v>46251</v>
      </c>
      <c r="T5" s="3">
        <v>46252</v>
      </c>
      <c r="U5" s="3">
        <v>46253</v>
      </c>
      <c r="V5" s="3">
        <v>46254</v>
      </c>
      <c r="W5" s="3">
        <v>46255</v>
      </c>
      <c r="X5" s="3">
        <v>46256</v>
      </c>
      <c r="Y5" s="3">
        <v>46257</v>
      </c>
      <c r="Z5" s="3">
        <v>46258</v>
      </c>
      <c r="AA5" s="3">
        <v>46259</v>
      </c>
      <c r="AB5" s="3">
        <v>46260</v>
      </c>
      <c r="AC5" s="3">
        <v>46261</v>
      </c>
      <c r="AD5" s="3">
        <v>46262</v>
      </c>
      <c r="AE5" s="3">
        <v>46263</v>
      </c>
      <c r="AF5" s="3">
        <v>46264</v>
      </c>
      <c r="AG5" s="3">
        <v>46265</v>
      </c>
      <c r="AH5" s="4"/>
      <c r="AI5" s="4"/>
      <c r="AJ5" s="4"/>
      <c r="AK5" s="4"/>
    </row>
    <row r="6" spans="1:37" x14ac:dyDescent="0.25">
      <c r="A6" s="2">
        <v>1</v>
      </c>
      <c r="B6" s="2">
        <f>Annual_Report!B2</f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4">
        <f t="shared" ref="AH6:AH37" si="1">COUNTIF($C6:$AG6, "ح")</f>
        <v>0</v>
      </c>
      <c r="AI6" s="4">
        <f t="shared" ref="AI6:AI37" si="2">COUNTIF($C6:$AG6, "غ")</f>
        <v>0</v>
      </c>
      <c r="AJ6" s="4">
        <f t="shared" ref="AJ6:AJ37" si="3">COUNTIF($C6:$AG6, "ج")</f>
        <v>0</v>
      </c>
      <c r="AK6" s="4">
        <f t="shared" ref="AK6:AK37" si="4">COUNTIF($C6:$AG6, "م")</f>
        <v>0</v>
      </c>
    </row>
    <row r="7" spans="1:37" x14ac:dyDescent="0.25">
      <c r="A7" s="2">
        <v>2</v>
      </c>
      <c r="B7" s="2">
        <f>Annual_Report!B3</f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4">
        <f t="shared" si="1"/>
        <v>0</v>
      </c>
      <c r="AI7" s="4">
        <f t="shared" si="2"/>
        <v>0</v>
      </c>
      <c r="AJ7" s="4">
        <f t="shared" si="3"/>
        <v>0</v>
      </c>
      <c r="AK7" s="4">
        <f t="shared" si="4"/>
        <v>0</v>
      </c>
    </row>
    <row r="8" spans="1:37" x14ac:dyDescent="0.25">
      <c r="A8" s="2">
        <v>3</v>
      </c>
      <c r="B8" s="2">
        <f>Annual_Report!B4</f>
        <v>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4">
        <f t="shared" si="1"/>
        <v>0</v>
      </c>
      <c r="AI8" s="4">
        <f t="shared" si="2"/>
        <v>0</v>
      </c>
      <c r="AJ8" s="4">
        <f t="shared" si="3"/>
        <v>0</v>
      </c>
      <c r="AK8" s="4">
        <f t="shared" si="4"/>
        <v>0</v>
      </c>
    </row>
    <row r="9" spans="1:37" x14ac:dyDescent="0.25">
      <c r="A9" s="2">
        <v>4</v>
      </c>
      <c r="B9" s="2">
        <f>Annual_Report!B5</f>
        <v>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4">
        <f t="shared" si="1"/>
        <v>0</v>
      </c>
      <c r="AI9" s="4">
        <f t="shared" si="2"/>
        <v>0</v>
      </c>
      <c r="AJ9" s="4">
        <f t="shared" si="3"/>
        <v>0</v>
      </c>
      <c r="AK9" s="4">
        <f t="shared" si="4"/>
        <v>0</v>
      </c>
    </row>
    <row r="10" spans="1:37" x14ac:dyDescent="0.25">
      <c r="A10" s="2">
        <v>5</v>
      </c>
      <c r="B10" s="2">
        <f>Annual_Report!B6</f>
        <v>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4">
        <f t="shared" si="1"/>
        <v>0</v>
      </c>
      <c r="AI10" s="4">
        <f t="shared" si="2"/>
        <v>0</v>
      </c>
      <c r="AJ10" s="4">
        <f t="shared" si="3"/>
        <v>0</v>
      </c>
      <c r="AK10" s="4">
        <f t="shared" si="4"/>
        <v>0</v>
      </c>
    </row>
    <row r="11" spans="1:37" x14ac:dyDescent="0.25">
      <c r="A11" s="2">
        <v>6</v>
      </c>
      <c r="B11" s="2">
        <f>Annual_Report!B7</f>
        <v>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4">
        <f t="shared" si="1"/>
        <v>0</v>
      </c>
      <c r="AI11" s="4">
        <f t="shared" si="2"/>
        <v>0</v>
      </c>
      <c r="AJ11" s="4">
        <f t="shared" si="3"/>
        <v>0</v>
      </c>
      <c r="AK11" s="4">
        <f t="shared" si="4"/>
        <v>0</v>
      </c>
    </row>
    <row r="12" spans="1:37" x14ac:dyDescent="0.25">
      <c r="A12" s="2">
        <v>7</v>
      </c>
      <c r="B12" s="2">
        <f>Annual_Report!B8</f>
        <v>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4">
        <f t="shared" si="1"/>
        <v>0</v>
      </c>
      <c r="AI12" s="4">
        <f t="shared" si="2"/>
        <v>0</v>
      </c>
      <c r="AJ12" s="4">
        <f t="shared" si="3"/>
        <v>0</v>
      </c>
      <c r="AK12" s="4">
        <f t="shared" si="4"/>
        <v>0</v>
      </c>
    </row>
    <row r="13" spans="1:37" x14ac:dyDescent="0.25">
      <c r="A13" s="2">
        <v>8</v>
      </c>
      <c r="B13" s="2">
        <f>Annual_Report!B9</f>
        <v>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4">
        <f t="shared" si="1"/>
        <v>0</v>
      </c>
      <c r="AI13" s="4">
        <f t="shared" si="2"/>
        <v>0</v>
      </c>
      <c r="AJ13" s="4">
        <f t="shared" si="3"/>
        <v>0</v>
      </c>
      <c r="AK13" s="4">
        <f t="shared" si="4"/>
        <v>0</v>
      </c>
    </row>
    <row r="14" spans="1:37" x14ac:dyDescent="0.25">
      <c r="A14" s="2">
        <v>9</v>
      </c>
      <c r="B14" s="2">
        <f>Annual_Report!B10</f>
        <v>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4">
        <f t="shared" si="1"/>
        <v>0</v>
      </c>
      <c r="AI14" s="4">
        <f t="shared" si="2"/>
        <v>0</v>
      </c>
      <c r="AJ14" s="4">
        <f t="shared" si="3"/>
        <v>0</v>
      </c>
      <c r="AK14" s="4">
        <f t="shared" si="4"/>
        <v>0</v>
      </c>
    </row>
    <row r="15" spans="1:37" x14ac:dyDescent="0.25">
      <c r="A15" s="2">
        <v>10</v>
      </c>
      <c r="B15" s="2">
        <f>Annual_Report!B11</f>
        <v>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4">
        <f t="shared" si="1"/>
        <v>0</v>
      </c>
      <c r="AI15" s="4">
        <f t="shared" si="2"/>
        <v>0</v>
      </c>
      <c r="AJ15" s="4">
        <f t="shared" si="3"/>
        <v>0</v>
      </c>
      <c r="AK15" s="4">
        <f t="shared" si="4"/>
        <v>0</v>
      </c>
    </row>
    <row r="16" spans="1:37" x14ac:dyDescent="0.25">
      <c r="A16" s="2">
        <v>11</v>
      </c>
      <c r="B16" s="2">
        <f>Annual_Report!B12</f>
        <v>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4">
        <f t="shared" si="1"/>
        <v>0</v>
      </c>
      <c r="AI16" s="4">
        <f t="shared" si="2"/>
        <v>0</v>
      </c>
      <c r="AJ16" s="4">
        <f t="shared" si="3"/>
        <v>0</v>
      </c>
      <c r="AK16" s="4">
        <f t="shared" si="4"/>
        <v>0</v>
      </c>
    </row>
    <row r="17" spans="1:37" x14ac:dyDescent="0.25">
      <c r="A17" s="2">
        <v>12</v>
      </c>
      <c r="B17" s="2">
        <f>Annual_Report!B13</f>
        <v>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4">
        <f t="shared" si="1"/>
        <v>0</v>
      </c>
      <c r="AI17" s="4">
        <f t="shared" si="2"/>
        <v>0</v>
      </c>
      <c r="AJ17" s="4">
        <f t="shared" si="3"/>
        <v>0</v>
      </c>
      <c r="AK17" s="4">
        <f t="shared" si="4"/>
        <v>0</v>
      </c>
    </row>
    <row r="18" spans="1:37" x14ac:dyDescent="0.25">
      <c r="A18" s="2">
        <v>13</v>
      </c>
      <c r="B18" s="2">
        <f>Annual_Report!B14</f>
        <v>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4">
        <f t="shared" si="1"/>
        <v>0</v>
      </c>
      <c r="AI18" s="4">
        <f t="shared" si="2"/>
        <v>0</v>
      </c>
      <c r="AJ18" s="4">
        <f t="shared" si="3"/>
        <v>0</v>
      </c>
      <c r="AK18" s="4">
        <f t="shared" si="4"/>
        <v>0</v>
      </c>
    </row>
    <row r="19" spans="1:37" x14ac:dyDescent="0.25">
      <c r="A19" s="2">
        <v>14</v>
      </c>
      <c r="B19" s="2">
        <f>Annual_Report!B15</f>
        <v>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4">
        <f t="shared" si="1"/>
        <v>0</v>
      </c>
      <c r="AI19" s="4">
        <f t="shared" si="2"/>
        <v>0</v>
      </c>
      <c r="AJ19" s="4">
        <f t="shared" si="3"/>
        <v>0</v>
      </c>
      <c r="AK19" s="4">
        <f t="shared" si="4"/>
        <v>0</v>
      </c>
    </row>
    <row r="20" spans="1:37" x14ac:dyDescent="0.25">
      <c r="A20" s="2">
        <v>15</v>
      </c>
      <c r="B20" s="2">
        <f>Annual_Report!B16</f>
        <v>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4">
        <f t="shared" si="1"/>
        <v>0</v>
      </c>
      <c r="AI20" s="4">
        <f t="shared" si="2"/>
        <v>0</v>
      </c>
      <c r="AJ20" s="4">
        <f t="shared" si="3"/>
        <v>0</v>
      </c>
      <c r="AK20" s="4">
        <f t="shared" si="4"/>
        <v>0</v>
      </c>
    </row>
    <row r="21" spans="1:37" x14ac:dyDescent="0.25">
      <c r="A21" s="2">
        <v>16</v>
      </c>
      <c r="B21" s="2">
        <f>Annual_Report!B17</f>
        <v>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4">
        <f t="shared" si="1"/>
        <v>0</v>
      </c>
      <c r="AI21" s="4">
        <f t="shared" si="2"/>
        <v>0</v>
      </c>
      <c r="AJ21" s="4">
        <f t="shared" si="3"/>
        <v>0</v>
      </c>
      <c r="AK21" s="4">
        <f t="shared" si="4"/>
        <v>0</v>
      </c>
    </row>
    <row r="22" spans="1:37" x14ac:dyDescent="0.25">
      <c r="A22" s="2">
        <v>17</v>
      </c>
      <c r="B22" s="2">
        <f>Annual_Report!B18</f>
        <v>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4">
        <f t="shared" si="1"/>
        <v>0</v>
      </c>
      <c r="AI22" s="4">
        <f t="shared" si="2"/>
        <v>0</v>
      </c>
      <c r="AJ22" s="4">
        <f t="shared" si="3"/>
        <v>0</v>
      </c>
      <c r="AK22" s="4">
        <f t="shared" si="4"/>
        <v>0</v>
      </c>
    </row>
    <row r="23" spans="1:37" x14ac:dyDescent="0.25">
      <c r="A23" s="2">
        <v>18</v>
      </c>
      <c r="B23" s="2">
        <f>Annual_Report!B19</f>
        <v>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4">
        <f t="shared" si="1"/>
        <v>0</v>
      </c>
      <c r="AI23" s="4">
        <f t="shared" si="2"/>
        <v>0</v>
      </c>
      <c r="AJ23" s="4">
        <f t="shared" si="3"/>
        <v>0</v>
      </c>
      <c r="AK23" s="4">
        <f t="shared" si="4"/>
        <v>0</v>
      </c>
    </row>
    <row r="24" spans="1:37" x14ac:dyDescent="0.25">
      <c r="A24" s="2">
        <v>19</v>
      </c>
      <c r="B24" s="2">
        <f>Annual_Report!B20</f>
        <v>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4">
        <f t="shared" si="1"/>
        <v>0</v>
      </c>
      <c r="AI24" s="4">
        <f t="shared" si="2"/>
        <v>0</v>
      </c>
      <c r="AJ24" s="4">
        <f t="shared" si="3"/>
        <v>0</v>
      </c>
      <c r="AK24" s="4">
        <f t="shared" si="4"/>
        <v>0</v>
      </c>
    </row>
    <row r="25" spans="1:37" x14ac:dyDescent="0.25">
      <c r="A25" s="2">
        <v>20</v>
      </c>
      <c r="B25" s="2">
        <f>Annual_Report!B21</f>
        <v>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4">
        <f t="shared" si="1"/>
        <v>0</v>
      </c>
      <c r="AI25" s="4">
        <f t="shared" si="2"/>
        <v>0</v>
      </c>
      <c r="AJ25" s="4">
        <f t="shared" si="3"/>
        <v>0</v>
      </c>
      <c r="AK25" s="4">
        <f t="shared" si="4"/>
        <v>0</v>
      </c>
    </row>
    <row r="26" spans="1:37" x14ac:dyDescent="0.25">
      <c r="A26" s="2">
        <v>21</v>
      </c>
      <c r="B26" s="2">
        <f>Annual_Report!B22</f>
        <v>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4">
        <f t="shared" si="1"/>
        <v>0</v>
      </c>
      <c r="AI26" s="4">
        <f t="shared" si="2"/>
        <v>0</v>
      </c>
      <c r="AJ26" s="4">
        <f t="shared" si="3"/>
        <v>0</v>
      </c>
      <c r="AK26" s="4">
        <f t="shared" si="4"/>
        <v>0</v>
      </c>
    </row>
    <row r="27" spans="1:37" x14ac:dyDescent="0.25">
      <c r="A27" s="2">
        <v>22</v>
      </c>
      <c r="B27" s="2">
        <f>Annual_Report!B23</f>
        <v>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4">
        <f t="shared" si="1"/>
        <v>0</v>
      </c>
      <c r="AI27" s="4">
        <f t="shared" si="2"/>
        <v>0</v>
      </c>
      <c r="AJ27" s="4">
        <f t="shared" si="3"/>
        <v>0</v>
      </c>
      <c r="AK27" s="4">
        <f t="shared" si="4"/>
        <v>0</v>
      </c>
    </row>
    <row r="28" spans="1:37" x14ac:dyDescent="0.25">
      <c r="A28" s="2">
        <v>23</v>
      </c>
      <c r="B28" s="2">
        <f>Annual_Report!B24</f>
        <v>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4">
        <f t="shared" si="1"/>
        <v>0</v>
      </c>
      <c r="AI28" s="4">
        <f t="shared" si="2"/>
        <v>0</v>
      </c>
      <c r="AJ28" s="4">
        <f t="shared" si="3"/>
        <v>0</v>
      </c>
      <c r="AK28" s="4">
        <f t="shared" si="4"/>
        <v>0</v>
      </c>
    </row>
    <row r="29" spans="1:37" x14ac:dyDescent="0.25">
      <c r="A29" s="2">
        <v>24</v>
      </c>
      <c r="B29" s="2">
        <f>Annual_Report!B25</f>
        <v>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4">
        <f t="shared" si="1"/>
        <v>0</v>
      </c>
      <c r="AI29" s="4">
        <f t="shared" si="2"/>
        <v>0</v>
      </c>
      <c r="AJ29" s="4">
        <f t="shared" si="3"/>
        <v>0</v>
      </c>
      <c r="AK29" s="4">
        <f t="shared" si="4"/>
        <v>0</v>
      </c>
    </row>
    <row r="30" spans="1:37" x14ac:dyDescent="0.25">
      <c r="A30" s="2">
        <v>25</v>
      </c>
      <c r="B30" s="2">
        <f>Annual_Report!B26</f>
        <v>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4">
        <f t="shared" si="1"/>
        <v>0</v>
      </c>
      <c r="AI30" s="4">
        <f t="shared" si="2"/>
        <v>0</v>
      </c>
      <c r="AJ30" s="4">
        <f t="shared" si="3"/>
        <v>0</v>
      </c>
      <c r="AK30" s="4">
        <f t="shared" si="4"/>
        <v>0</v>
      </c>
    </row>
    <row r="31" spans="1:37" x14ac:dyDescent="0.25">
      <c r="A31" s="2">
        <v>26</v>
      </c>
      <c r="B31" s="2">
        <f>Annual_Report!B27</f>
        <v>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4">
        <f t="shared" si="1"/>
        <v>0</v>
      </c>
      <c r="AI31" s="4">
        <f t="shared" si="2"/>
        <v>0</v>
      </c>
      <c r="AJ31" s="4">
        <f t="shared" si="3"/>
        <v>0</v>
      </c>
      <c r="AK31" s="4">
        <f t="shared" si="4"/>
        <v>0</v>
      </c>
    </row>
    <row r="32" spans="1:37" x14ac:dyDescent="0.25">
      <c r="A32" s="2">
        <v>27</v>
      </c>
      <c r="B32" s="2">
        <f>Annual_Report!B28</f>
        <v>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4">
        <f t="shared" si="1"/>
        <v>0</v>
      </c>
      <c r="AI32" s="4">
        <f t="shared" si="2"/>
        <v>0</v>
      </c>
      <c r="AJ32" s="4">
        <f t="shared" si="3"/>
        <v>0</v>
      </c>
      <c r="AK32" s="4">
        <f t="shared" si="4"/>
        <v>0</v>
      </c>
    </row>
    <row r="33" spans="1:37" x14ac:dyDescent="0.25">
      <c r="A33" s="2">
        <v>28</v>
      </c>
      <c r="B33" s="2">
        <f>Annual_Report!B29</f>
        <v>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4">
        <f t="shared" si="1"/>
        <v>0</v>
      </c>
      <c r="AI33" s="4">
        <f t="shared" si="2"/>
        <v>0</v>
      </c>
      <c r="AJ33" s="4">
        <f t="shared" si="3"/>
        <v>0</v>
      </c>
      <c r="AK33" s="4">
        <f t="shared" si="4"/>
        <v>0</v>
      </c>
    </row>
    <row r="34" spans="1:37" x14ac:dyDescent="0.25">
      <c r="A34" s="2">
        <v>29</v>
      </c>
      <c r="B34" s="2">
        <f>Annual_Report!B30</f>
        <v>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4">
        <f t="shared" si="1"/>
        <v>0</v>
      </c>
      <c r="AI34" s="4">
        <f t="shared" si="2"/>
        <v>0</v>
      </c>
      <c r="AJ34" s="4">
        <f t="shared" si="3"/>
        <v>0</v>
      </c>
      <c r="AK34" s="4">
        <f t="shared" si="4"/>
        <v>0</v>
      </c>
    </row>
    <row r="35" spans="1:37" x14ac:dyDescent="0.25">
      <c r="A35" s="2">
        <v>30</v>
      </c>
      <c r="B35" s="2">
        <f>Annual_Report!B31</f>
        <v>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4">
        <f t="shared" si="1"/>
        <v>0</v>
      </c>
      <c r="AI35" s="4">
        <f t="shared" si="2"/>
        <v>0</v>
      </c>
      <c r="AJ35" s="4">
        <f t="shared" si="3"/>
        <v>0</v>
      </c>
      <c r="AK35" s="4">
        <f t="shared" si="4"/>
        <v>0</v>
      </c>
    </row>
    <row r="36" spans="1:37" x14ac:dyDescent="0.25">
      <c r="A36" s="2">
        <v>31</v>
      </c>
      <c r="B36" s="2">
        <f>Annual_Report!B32</f>
        <v>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4">
        <f t="shared" si="1"/>
        <v>0</v>
      </c>
      <c r="AI36" s="4">
        <f t="shared" si="2"/>
        <v>0</v>
      </c>
      <c r="AJ36" s="4">
        <f t="shared" si="3"/>
        <v>0</v>
      </c>
      <c r="AK36" s="4">
        <f t="shared" si="4"/>
        <v>0</v>
      </c>
    </row>
    <row r="37" spans="1:37" x14ac:dyDescent="0.25">
      <c r="A37" s="2">
        <v>32</v>
      </c>
      <c r="B37" s="2">
        <f>Annual_Report!B33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4">
        <f t="shared" si="1"/>
        <v>0</v>
      </c>
      <c r="AI37" s="4">
        <f t="shared" si="2"/>
        <v>0</v>
      </c>
      <c r="AJ37" s="4">
        <f t="shared" si="3"/>
        <v>0</v>
      </c>
      <c r="AK37" s="4">
        <f t="shared" si="4"/>
        <v>0</v>
      </c>
    </row>
    <row r="38" spans="1:37" x14ac:dyDescent="0.25">
      <c r="A38" s="2">
        <v>33</v>
      </c>
      <c r="B38" s="2">
        <f>Annual_Report!B34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4">
        <f t="shared" ref="AH38:AH69" si="5">COUNTIF($C38:$AG38, "ح")</f>
        <v>0</v>
      </c>
      <c r="AI38" s="4">
        <f t="shared" ref="AI38:AI69" si="6">COUNTIF($C38:$AG38, "غ")</f>
        <v>0</v>
      </c>
      <c r="AJ38" s="4">
        <f t="shared" ref="AJ38:AJ69" si="7">COUNTIF($C38:$AG38, "ج")</f>
        <v>0</v>
      </c>
      <c r="AK38" s="4">
        <f t="shared" ref="AK38:AK69" si="8">COUNTIF($C38:$AG38, "م")</f>
        <v>0</v>
      </c>
    </row>
    <row r="39" spans="1:37" x14ac:dyDescent="0.25">
      <c r="A39" s="2">
        <v>34</v>
      </c>
      <c r="B39" s="2">
        <f>Annual_Report!B35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4">
        <f t="shared" si="5"/>
        <v>0</v>
      </c>
      <c r="AI39" s="4">
        <f t="shared" si="6"/>
        <v>0</v>
      </c>
      <c r="AJ39" s="4">
        <f t="shared" si="7"/>
        <v>0</v>
      </c>
      <c r="AK39" s="4">
        <f t="shared" si="8"/>
        <v>0</v>
      </c>
    </row>
    <row r="40" spans="1:37" x14ac:dyDescent="0.25">
      <c r="A40" s="2">
        <v>35</v>
      </c>
      <c r="B40" s="2">
        <f>Annual_Report!B36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4">
        <f t="shared" si="5"/>
        <v>0</v>
      </c>
      <c r="AI40" s="4">
        <f t="shared" si="6"/>
        <v>0</v>
      </c>
      <c r="AJ40" s="4">
        <f t="shared" si="7"/>
        <v>0</v>
      </c>
      <c r="AK40" s="4">
        <f t="shared" si="8"/>
        <v>0</v>
      </c>
    </row>
    <row r="41" spans="1:37" x14ac:dyDescent="0.25">
      <c r="A41" s="2">
        <v>36</v>
      </c>
      <c r="B41" s="2">
        <f>Annual_Report!B37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4">
        <f t="shared" si="5"/>
        <v>0</v>
      </c>
      <c r="AI41" s="4">
        <f t="shared" si="6"/>
        <v>0</v>
      </c>
      <c r="AJ41" s="4">
        <f t="shared" si="7"/>
        <v>0</v>
      </c>
      <c r="AK41" s="4">
        <f t="shared" si="8"/>
        <v>0</v>
      </c>
    </row>
    <row r="42" spans="1:37" x14ac:dyDescent="0.25">
      <c r="A42" s="2">
        <v>37</v>
      </c>
      <c r="B42" s="2">
        <f>Annual_Report!B38</f>
        <v>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4">
        <f t="shared" si="5"/>
        <v>0</v>
      </c>
      <c r="AI42" s="4">
        <f t="shared" si="6"/>
        <v>0</v>
      </c>
      <c r="AJ42" s="4">
        <f t="shared" si="7"/>
        <v>0</v>
      </c>
      <c r="AK42" s="4">
        <f t="shared" si="8"/>
        <v>0</v>
      </c>
    </row>
    <row r="43" spans="1:37" x14ac:dyDescent="0.25">
      <c r="A43" s="2">
        <v>38</v>
      </c>
      <c r="B43" s="2">
        <f>Annual_Report!B39</f>
        <v>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4">
        <f t="shared" si="5"/>
        <v>0</v>
      </c>
      <c r="AI43" s="4">
        <f t="shared" si="6"/>
        <v>0</v>
      </c>
      <c r="AJ43" s="4">
        <f t="shared" si="7"/>
        <v>0</v>
      </c>
      <c r="AK43" s="4">
        <f t="shared" si="8"/>
        <v>0</v>
      </c>
    </row>
    <row r="44" spans="1:37" x14ac:dyDescent="0.25">
      <c r="A44" s="2">
        <v>39</v>
      </c>
      <c r="B44" s="2">
        <f>Annual_Report!B40</f>
        <v>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4">
        <f t="shared" si="5"/>
        <v>0</v>
      </c>
      <c r="AI44" s="4">
        <f t="shared" si="6"/>
        <v>0</v>
      </c>
      <c r="AJ44" s="4">
        <f t="shared" si="7"/>
        <v>0</v>
      </c>
      <c r="AK44" s="4">
        <f t="shared" si="8"/>
        <v>0</v>
      </c>
    </row>
    <row r="45" spans="1:37" x14ac:dyDescent="0.25">
      <c r="A45" s="2">
        <v>40</v>
      </c>
      <c r="B45" s="2">
        <f>Annual_Report!B41</f>
        <v>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4">
        <f t="shared" si="5"/>
        <v>0</v>
      </c>
      <c r="AI45" s="4">
        <f t="shared" si="6"/>
        <v>0</v>
      </c>
      <c r="AJ45" s="4">
        <f t="shared" si="7"/>
        <v>0</v>
      </c>
      <c r="AK45" s="4">
        <f t="shared" si="8"/>
        <v>0</v>
      </c>
    </row>
    <row r="46" spans="1:37" x14ac:dyDescent="0.25">
      <c r="A46" s="2">
        <v>41</v>
      </c>
      <c r="B46" s="2">
        <f>Annual_Report!B42</f>
        <v>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4">
        <f t="shared" si="5"/>
        <v>0</v>
      </c>
      <c r="AI46" s="4">
        <f t="shared" si="6"/>
        <v>0</v>
      </c>
      <c r="AJ46" s="4">
        <f t="shared" si="7"/>
        <v>0</v>
      </c>
      <c r="AK46" s="4">
        <f t="shared" si="8"/>
        <v>0</v>
      </c>
    </row>
    <row r="47" spans="1:37" x14ac:dyDescent="0.25">
      <c r="A47" s="2">
        <v>42</v>
      </c>
      <c r="B47" s="2">
        <f>Annual_Report!B43</f>
        <v>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4">
        <f t="shared" si="5"/>
        <v>0</v>
      </c>
      <c r="AI47" s="4">
        <f t="shared" si="6"/>
        <v>0</v>
      </c>
      <c r="AJ47" s="4">
        <f t="shared" si="7"/>
        <v>0</v>
      </c>
      <c r="AK47" s="4">
        <f t="shared" si="8"/>
        <v>0</v>
      </c>
    </row>
    <row r="48" spans="1:37" x14ac:dyDescent="0.25">
      <c r="A48" s="2">
        <v>43</v>
      </c>
      <c r="B48" s="2">
        <f>Annual_Report!B44</f>
        <v>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4">
        <f t="shared" si="5"/>
        <v>0</v>
      </c>
      <c r="AI48" s="4">
        <f t="shared" si="6"/>
        <v>0</v>
      </c>
      <c r="AJ48" s="4">
        <f t="shared" si="7"/>
        <v>0</v>
      </c>
      <c r="AK48" s="4">
        <f t="shared" si="8"/>
        <v>0</v>
      </c>
    </row>
    <row r="49" spans="1:37" x14ac:dyDescent="0.25">
      <c r="A49" s="2">
        <v>44</v>
      </c>
      <c r="B49" s="2">
        <f>Annual_Report!B45</f>
        <v>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4">
        <f t="shared" si="5"/>
        <v>0</v>
      </c>
      <c r="AI49" s="4">
        <f t="shared" si="6"/>
        <v>0</v>
      </c>
      <c r="AJ49" s="4">
        <f t="shared" si="7"/>
        <v>0</v>
      </c>
      <c r="AK49" s="4">
        <f t="shared" si="8"/>
        <v>0</v>
      </c>
    </row>
    <row r="50" spans="1:37" x14ac:dyDescent="0.25">
      <c r="A50" s="2">
        <v>45</v>
      </c>
      <c r="B50" s="2">
        <f>Annual_Report!B46</f>
        <v>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4">
        <f t="shared" si="5"/>
        <v>0</v>
      </c>
      <c r="AI50" s="4">
        <f t="shared" si="6"/>
        <v>0</v>
      </c>
      <c r="AJ50" s="4">
        <f t="shared" si="7"/>
        <v>0</v>
      </c>
      <c r="AK50" s="4">
        <f t="shared" si="8"/>
        <v>0</v>
      </c>
    </row>
    <row r="51" spans="1:37" x14ac:dyDescent="0.25">
      <c r="A51" s="2">
        <v>46</v>
      </c>
      <c r="B51" s="2">
        <f>Annual_Report!B47</f>
        <v>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4">
        <f t="shared" si="5"/>
        <v>0</v>
      </c>
      <c r="AI51" s="4">
        <f t="shared" si="6"/>
        <v>0</v>
      </c>
      <c r="AJ51" s="4">
        <f t="shared" si="7"/>
        <v>0</v>
      </c>
      <c r="AK51" s="4">
        <f t="shared" si="8"/>
        <v>0</v>
      </c>
    </row>
    <row r="52" spans="1:37" x14ac:dyDescent="0.25">
      <c r="A52" s="2">
        <v>47</v>
      </c>
      <c r="B52" s="2">
        <f>Annual_Report!B48</f>
        <v>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4">
        <f t="shared" si="5"/>
        <v>0</v>
      </c>
      <c r="AI52" s="4">
        <f t="shared" si="6"/>
        <v>0</v>
      </c>
      <c r="AJ52" s="4">
        <f t="shared" si="7"/>
        <v>0</v>
      </c>
      <c r="AK52" s="4">
        <f t="shared" si="8"/>
        <v>0</v>
      </c>
    </row>
    <row r="53" spans="1:37" x14ac:dyDescent="0.25">
      <c r="A53" s="2">
        <v>48</v>
      </c>
      <c r="B53" s="2">
        <f>Annual_Report!B49</f>
        <v>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4">
        <f t="shared" si="5"/>
        <v>0</v>
      </c>
      <c r="AI53" s="4">
        <f t="shared" si="6"/>
        <v>0</v>
      </c>
      <c r="AJ53" s="4">
        <f t="shared" si="7"/>
        <v>0</v>
      </c>
      <c r="AK53" s="4">
        <f t="shared" si="8"/>
        <v>0</v>
      </c>
    </row>
    <row r="54" spans="1:37" x14ac:dyDescent="0.25">
      <c r="A54" s="2">
        <v>49</v>
      </c>
      <c r="B54" s="2">
        <f>Annual_Report!B50</f>
        <v>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4">
        <f t="shared" si="5"/>
        <v>0</v>
      </c>
      <c r="AI54" s="4">
        <f t="shared" si="6"/>
        <v>0</v>
      </c>
      <c r="AJ54" s="4">
        <f t="shared" si="7"/>
        <v>0</v>
      </c>
      <c r="AK54" s="4">
        <f t="shared" si="8"/>
        <v>0</v>
      </c>
    </row>
    <row r="55" spans="1:37" x14ac:dyDescent="0.25">
      <c r="A55" s="2">
        <v>50</v>
      </c>
      <c r="B55" s="2">
        <f>Annual_Report!B51</f>
        <v>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4">
        <f t="shared" si="5"/>
        <v>0</v>
      </c>
      <c r="AI55" s="4">
        <f t="shared" si="6"/>
        <v>0</v>
      </c>
      <c r="AJ55" s="4">
        <f t="shared" si="7"/>
        <v>0</v>
      </c>
      <c r="AK55" s="4">
        <f t="shared" si="8"/>
        <v>0</v>
      </c>
    </row>
    <row r="56" spans="1:37" x14ac:dyDescent="0.25">
      <c r="A56" s="2">
        <v>51</v>
      </c>
      <c r="B56" s="2">
        <f>Annual_Report!B52</f>
        <v>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4">
        <f t="shared" si="5"/>
        <v>0</v>
      </c>
      <c r="AI56" s="4">
        <f t="shared" si="6"/>
        <v>0</v>
      </c>
      <c r="AJ56" s="4">
        <f t="shared" si="7"/>
        <v>0</v>
      </c>
      <c r="AK56" s="4">
        <f t="shared" si="8"/>
        <v>0</v>
      </c>
    </row>
    <row r="57" spans="1:37" x14ac:dyDescent="0.25">
      <c r="A57" s="2">
        <v>52</v>
      </c>
      <c r="B57" s="2">
        <f>Annual_Report!B53</f>
        <v>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4">
        <f t="shared" si="5"/>
        <v>0</v>
      </c>
      <c r="AI57" s="4">
        <f t="shared" si="6"/>
        <v>0</v>
      </c>
      <c r="AJ57" s="4">
        <f t="shared" si="7"/>
        <v>0</v>
      </c>
      <c r="AK57" s="4">
        <f t="shared" si="8"/>
        <v>0</v>
      </c>
    </row>
    <row r="58" spans="1:37" x14ac:dyDescent="0.25">
      <c r="A58" s="2">
        <v>53</v>
      </c>
      <c r="B58" s="2">
        <f>Annual_Report!B54</f>
        <v>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4">
        <f t="shared" si="5"/>
        <v>0</v>
      </c>
      <c r="AI58" s="4">
        <f t="shared" si="6"/>
        <v>0</v>
      </c>
      <c r="AJ58" s="4">
        <f t="shared" si="7"/>
        <v>0</v>
      </c>
      <c r="AK58" s="4">
        <f t="shared" si="8"/>
        <v>0</v>
      </c>
    </row>
    <row r="59" spans="1:37" x14ac:dyDescent="0.25">
      <c r="A59" s="2">
        <v>54</v>
      </c>
      <c r="B59" s="2">
        <f>Annual_Report!B55</f>
        <v>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4">
        <f t="shared" si="5"/>
        <v>0</v>
      </c>
      <c r="AI59" s="4">
        <f t="shared" si="6"/>
        <v>0</v>
      </c>
      <c r="AJ59" s="4">
        <f t="shared" si="7"/>
        <v>0</v>
      </c>
      <c r="AK59" s="4">
        <f t="shared" si="8"/>
        <v>0</v>
      </c>
    </row>
    <row r="60" spans="1:37" x14ac:dyDescent="0.25">
      <c r="A60" s="2">
        <v>55</v>
      </c>
      <c r="B60" s="2">
        <f>Annual_Report!B56</f>
        <v>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4">
        <f t="shared" si="5"/>
        <v>0</v>
      </c>
      <c r="AI60" s="4">
        <f t="shared" si="6"/>
        <v>0</v>
      </c>
      <c r="AJ60" s="4">
        <f t="shared" si="7"/>
        <v>0</v>
      </c>
      <c r="AK60" s="4">
        <f t="shared" si="8"/>
        <v>0</v>
      </c>
    </row>
    <row r="61" spans="1:37" x14ac:dyDescent="0.25">
      <c r="A61" s="2">
        <v>56</v>
      </c>
      <c r="B61" s="2">
        <f>Annual_Report!B57</f>
        <v>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4">
        <f t="shared" si="5"/>
        <v>0</v>
      </c>
      <c r="AI61" s="4">
        <f t="shared" si="6"/>
        <v>0</v>
      </c>
      <c r="AJ61" s="4">
        <f t="shared" si="7"/>
        <v>0</v>
      </c>
      <c r="AK61" s="4">
        <f t="shared" si="8"/>
        <v>0</v>
      </c>
    </row>
    <row r="62" spans="1:37" x14ac:dyDescent="0.25">
      <c r="A62" s="2">
        <v>57</v>
      </c>
      <c r="B62" s="2">
        <f>Annual_Report!B58</f>
        <v>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4">
        <f t="shared" si="5"/>
        <v>0</v>
      </c>
      <c r="AI62" s="4">
        <f t="shared" si="6"/>
        <v>0</v>
      </c>
      <c r="AJ62" s="4">
        <f t="shared" si="7"/>
        <v>0</v>
      </c>
      <c r="AK62" s="4">
        <f t="shared" si="8"/>
        <v>0</v>
      </c>
    </row>
    <row r="63" spans="1:37" x14ac:dyDescent="0.25">
      <c r="A63" s="2">
        <v>58</v>
      </c>
      <c r="B63" s="2">
        <f>Annual_Report!B59</f>
        <v>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4">
        <f t="shared" si="5"/>
        <v>0</v>
      </c>
      <c r="AI63" s="4">
        <f t="shared" si="6"/>
        <v>0</v>
      </c>
      <c r="AJ63" s="4">
        <f t="shared" si="7"/>
        <v>0</v>
      </c>
      <c r="AK63" s="4">
        <f t="shared" si="8"/>
        <v>0</v>
      </c>
    </row>
    <row r="64" spans="1:37" x14ac:dyDescent="0.25">
      <c r="A64" s="2">
        <v>59</v>
      </c>
      <c r="B64" s="2">
        <f>Annual_Report!B60</f>
        <v>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4">
        <f t="shared" si="5"/>
        <v>0</v>
      </c>
      <c r="AI64" s="4">
        <f t="shared" si="6"/>
        <v>0</v>
      </c>
      <c r="AJ64" s="4">
        <f t="shared" si="7"/>
        <v>0</v>
      </c>
      <c r="AK64" s="4">
        <f t="shared" si="8"/>
        <v>0</v>
      </c>
    </row>
    <row r="65" spans="1:37" x14ac:dyDescent="0.25">
      <c r="A65" s="2">
        <v>60</v>
      </c>
      <c r="B65" s="2">
        <f>Annual_Report!B61</f>
        <v>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4">
        <f t="shared" si="5"/>
        <v>0</v>
      </c>
      <c r="AI65" s="4">
        <f t="shared" si="6"/>
        <v>0</v>
      </c>
      <c r="AJ65" s="4">
        <f t="shared" si="7"/>
        <v>0</v>
      </c>
      <c r="AK65" s="4">
        <f t="shared" si="8"/>
        <v>0</v>
      </c>
    </row>
    <row r="66" spans="1:37" x14ac:dyDescent="0.25">
      <c r="A66" s="2">
        <v>61</v>
      </c>
      <c r="B66" s="2">
        <f>Annual_Report!B62</f>
        <v>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4">
        <f t="shared" si="5"/>
        <v>0</v>
      </c>
      <c r="AI66" s="4">
        <f t="shared" si="6"/>
        <v>0</v>
      </c>
      <c r="AJ66" s="4">
        <f t="shared" si="7"/>
        <v>0</v>
      </c>
      <c r="AK66" s="4">
        <f t="shared" si="8"/>
        <v>0</v>
      </c>
    </row>
    <row r="67" spans="1:37" x14ac:dyDescent="0.25">
      <c r="A67" s="2">
        <v>62</v>
      </c>
      <c r="B67" s="2">
        <f>Annual_Report!B63</f>
        <v>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4">
        <f t="shared" si="5"/>
        <v>0</v>
      </c>
      <c r="AI67" s="4">
        <f t="shared" si="6"/>
        <v>0</v>
      </c>
      <c r="AJ67" s="4">
        <f t="shared" si="7"/>
        <v>0</v>
      </c>
      <c r="AK67" s="4">
        <f t="shared" si="8"/>
        <v>0</v>
      </c>
    </row>
    <row r="68" spans="1:37" x14ac:dyDescent="0.25">
      <c r="A68" s="2">
        <v>63</v>
      </c>
      <c r="B68" s="2">
        <f>Annual_Report!B64</f>
        <v>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4">
        <f t="shared" si="5"/>
        <v>0</v>
      </c>
      <c r="AI68" s="4">
        <f t="shared" si="6"/>
        <v>0</v>
      </c>
      <c r="AJ68" s="4">
        <f t="shared" si="7"/>
        <v>0</v>
      </c>
      <c r="AK68" s="4">
        <f t="shared" si="8"/>
        <v>0</v>
      </c>
    </row>
    <row r="69" spans="1:37" x14ac:dyDescent="0.25">
      <c r="A69" s="2">
        <v>64</v>
      </c>
      <c r="B69" s="2">
        <f>Annual_Report!B65</f>
        <v>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4">
        <f t="shared" si="5"/>
        <v>0</v>
      </c>
      <c r="AI69" s="4">
        <f t="shared" si="6"/>
        <v>0</v>
      </c>
      <c r="AJ69" s="4">
        <f t="shared" si="7"/>
        <v>0</v>
      </c>
      <c r="AK69" s="4">
        <f t="shared" si="8"/>
        <v>0</v>
      </c>
    </row>
    <row r="70" spans="1:37" x14ac:dyDescent="0.25">
      <c r="A70" s="2">
        <v>65</v>
      </c>
      <c r="B70" s="2">
        <f>Annual_Report!B66</f>
        <v>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4">
        <f t="shared" ref="AH70:AH105" si="9">COUNTIF($C70:$AG70, "ح")</f>
        <v>0</v>
      </c>
      <c r="AI70" s="4">
        <f t="shared" ref="AI70:AI105" si="10">COUNTIF($C70:$AG70, "غ")</f>
        <v>0</v>
      </c>
      <c r="AJ70" s="4">
        <f t="shared" ref="AJ70:AJ105" si="11">COUNTIF($C70:$AG70, "ج")</f>
        <v>0</v>
      </c>
      <c r="AK70" s="4">
        <f t="shared" ref="AK70:AK105" si="12">COUNTIF($C70:$AG70, "م")</f>
        <v>0</v>
      </c>
    </row>
    <row r="71" spans="1:37" x14ac:dyDescent="0.25">
      <c r="A71" s="2">
        <v>66</v>
      </c>
      <c r="B71" s="2">
        <f>Annual_Report!B67</f>
        <v>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4">
        <f t="shared" si="9"/>
        <v>0</v>
      </c>
      <c r="AI71" s="4">
        <f t="shared" si="10"/>
        <v>0</v>
      </c>
      <c r="AJ71" s="4">
        <f t="shared" si="11"/>
        <v>0</v>
      </c>
      <c r="AK71" s="4">
        <f t="shared" si="12"/>
        <v>0</v>
      </c>
    </row>
    <row r="72" spans="1:37" x14ac:dyDescent="0.25">
      <c r="A72" s="2">
        <v>67</v>
      </c>
      <c r="B72" s="2">
        <f>Annual_Report!B68</f>
        <v>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4">
        <f t="shared" si="9"/>
        <v>0</v>
      </c>
      <c r="AI72" s="4">
        <f t="shared" si="10"/>
        <v>0</v>
      </c>
      <c r="AJ72" s="4">
        <f t="shared" si="11"/>
        <v>0</v>
      </c>
      <c r="AK72" s="4">
        <f t="shared" si="12"/>
        <v>0</v>
      </c>
    </row>
    <row r="73" spans="1:37" x14ac:dyDescent="0.25">
      <c r="A73" s="2">
        <v>68</v>
      </c>
      <c r="B73" s="2">
        <f>Annual_Report!B69</f>
        <v>0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4">
        <f t="shared" si="9"/>
        <v>0</v>
      </c>
      <c r="AI73" s="4">
        <f t="shared" si="10"/>
        <v>0</v>
      </c>
      <c r="AJ73" s="4">
        <f t="shared" si="11"/>
        <v>0</v>
      </c>
      <c r="AK73" s="4">
        <f t="shared" si="12"/>
        <v>0</v>
      </c>
    </row>
    <row r="74" spans="1:37" x14ac:dyDescent="0.25">
      <c r="A74" s="2">
        <v>69</v>
      </c>
      <c r="B74" s="2">
        <f>Annual_Report!B70</f>
        <v>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4">
        <f t="shared" si="9"/>
        <v>0</v>
      </c>
      <c r="AI74" s="4">
        <f t="shared" si="10"/>
        <v>0</v>
      </c>
      <c r="AJ74" s="4">
        <f t="shared" si="11"/>
        <v>0</v>
      </c>
      <c r="AK74" s="4">
        <f t="shared" si="12"/>
        <v>0</v>
      </c>
    </row>
    <row r="75" spans="1:37" x14ac:dyDescent="0.25">
      <c r="A75" s="2">
        <v>70</v>
      </c>
      <c r="B75" s="2">
        <f>Annual_Report!B71</f>
        <v>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4">
        <f t="shared" si="9"/>
        <v>0</v>
      </c>
      <c r="AI75" s="4">
        <f t="shared" si="10"/>
        <v>0</v>
      </c>
      <c r="AJ75" s="4">
        <f t="shared" si="11"/>
        <v>0</v>
      </c>
      <c r="AK75" s="4">
        <f t="shared" si="12"/>
        <v>0</v>
      </c>
    </row>
    <row r="76" spans="1:37" x14ac:dyDescent="0.25">
      <c r="A76" s="2">
        <v>71</v>
      </c>
      <c r="B76" s="2">
        <f>Annual_Report!B72</f>
        <v>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4">
        <f t="shared" si="9"/>
        <v>0</v>
      </c>
      <c r="AI76" s="4">
        <f t="shared" si="10"/>
        <v>0</v>
      </c>
      <c r="AJ76" s="4">
        <f t="shared" si="11"/>
        <v>0</v>
      </c>
      <c r="AK76" s="4">
        <f t="shared" si="12"/>
        <v>0</v>
      </c>
    </row>
    <row r="77" spans="1:37" x14ac:dyDescent="0.25">
      <c r="A77" s="2">
        <v>72</v>
      </c>
      <c r="B77" s="2">
        <f>Annual_Report!B73</f>
        <v>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4">
        <f t="shared" si="9"/>
        <v>0</v>
      </c>
      <c r="AI77" s="4">
        <f t="shared" si="10"/>
        <v>0</v>
      </c>
      <c r="AJ77" s="4">
        <f t="shared" si="11"/>
        <v>0</v>
      </c>
      <c r="AK77" s="4">
        <f t="shared" si="12"/>
        <v>0</v>
      </c>
    </row>
    <row r="78" spans="1:37" x14ac:dyDescent="0.25">
      <c r="A78" s="2">
        <v>73</v>
      </c>
      <c r="B78" s="2">
        <f>Annual_Report!B74</f>
        <v>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4">
        <f t="shared" si="9"/>
        <v>0</v>
      </c>
      <c r="AI78" s="4">
        <f t="shared" si="10"/>
        <v>0</v>
      </c>
      <c r="AJ78" s="4">
        <f t="shared" si="11"/>
        <v>0</v>
      </c>
      <c r="AK78" s="4">
        <f t="shared" si="12"/>
        <v>0</v>
      </c>
    </row>
    <row r="79" spans="1:37" x14ac:dyDescent="0.25">
      <c r="A79" s="2">
        <v>74</v>
      </c>
      <c r="B79" s="2">
        <f>Annual_Report!B75</f>
        <v>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4">
        <f t="shared" si="9"/>
        <v>0</v>
      </c>
      <c r="AI79" s="4">
        <f t="shared" si="10"/>
        <v>0</v>
      </c>
      <c r="AJ79" s="4">
        <f t="shared" si="11"/>
        <v>0</v>
      </c>
      <c r="AK79" s="4">
        <f t="shared" si="12"/>
        <v>0</v>
      </c>
    </row>
    <row r="80" spans="1:37" x14ac:dyDescent="0.25">
      <c r="A80" s="2">
        <v>75</v>
      </c>
      <c r="B80" s="2">
        <f>Annual_Report!B76</f>
        <v>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4">
        <f t="shared" si="9"/>
        <v>0</v>
      </c>
      <c r="AI80" s="4">
        <f t="shared" si="10"/>
        <v>0</v>
      </c>
      <c r="AJ80" s="4">
        <f t="shared" si="11"/>
        <v>0</v>
      </c>
      <c r="AK80" s="4">
        <f t="shared" si="12"/>
        <v>0</v>
      </c>
    </row>
    <row r="81" spans="1:37" x14ac:dyDescent="0.25">
      <c r="A81" s="2">
        <v>76</v>
      </c>
      <c r="B81" s="2">
        <f>Annual_Report!B77</f>
        <v>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4">
        <f t="shared" si="9"/>
        <v>0</v>
      </c>
      <c r="AI81" s="4">
        <f t="shared" si="10"/>
        <v>0</v>
      </c>
      <c r="AJ81" s="4">
        <f t="shared" si="11"/>
        <v>0</v>
      </c>
      <c r="AK81" s="4">
        <f t="shared" si="12"/>
        <v>0</v>
      </c>
    </row>
    <row r="82" spans="1:37" x14ac:dyDescent="0.25">
      <c r="A82" s="2">
        <v>77</v>
      </c>
      <c r="B82" s="2">
        <f>Annual_Report!B78</f>
        <v>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4">
        <f t="shared" si="9"/>
        <v>0</v>
      </c>
      <c r="AI82" s="4">
        <f t="shared" si="10"/>
        <v>0</v>
      </c>
      <c r="AJ82" s="4">
        <f t="shared" si="11"/>
        <v>0</v>
      </c>
      <c r="AK82" s="4">
        <f t="shared" si="12"/>
        <v>0</v>
      </c>
    </row>
    <row r="83" spans="1:37" x14ac:dyDescent="0.25">
      <c r="A83" s="2">
        <v>78</v>
      </c>
      <c r="B83" s="2">
        <f>Annual_Report!B79</f>
        <v>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4">
        <f t="shared" si="9"/>
        <v>0</v>
      </c>
      <c r="AI83" s="4">
        <f t="shared" si="10"/>
        <v>0</v>
      </c>
      <c r="AJ83" s="4">
        <f t="shared" si="11"/>
        <v>0</v>
      </c>
      <c r="AK83" s="4">
        <f t="shared" si="12"/>
        <v>0</v>
      </c>
    </row>
    <row r="84" spans="1:37" x14ac:dyDescent="0.25">
      <c r="A84" s="2">
        <v>79</v>
      </c>
      <c r="B84" s="2">
        <f>Annual_Report!B80</f>
        <v>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4">
        <f t="shared" si="9"/>
        <v>0</v>
      </c>
      <c r="AI84" s="4">
        <f t="shared" si="10"/>
        <v>0</v>
      </c>
      <c r="AJ84" s="4">
        <f t="shared" si="11"/>
        <v>0</v>
      </c>
      <c r="AK84" s="4">
        <f t="shared" si="12"/>
        <v>0</v>
      </c>
    </row>
    <row r="85" spans="1:37" x14ac:dyDescent="0.25">
      <c r="A85" s="2">
        <v>80</v>
      </c>
      <c r="B85" s="2">
        <f>Annual_Report!B81</f>
        <v>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4">
        <f t="shared" si="9"/>
        <v>0</v>
      </c>
      <c r="AI85" s="4">
        <f t="shared" si="10"/>
        <v>0</v>
      </c>
      <c r="AJ85" s="4">
        <f t="shared" si="11"/>
        <v>0</v>
      </c>
      <c r="AK85" s="4">
        <f t="shared" si="12"/>
        <v>0</v>
      </c>
    </row>
    <row r="86" spans="1:37" x14ac:dyDescent="0.25">
      <c r="A86" s="2">
        <v>81</v>
      </c>
      <c r="B86" s="2">
        <f>Annual_Report!B82</f>
        <v>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4">
        <f t="shared" si="9"/>
        <v>0</v>
      </c>
      <c r="AI86" s="4">
        <f t="shared" si="10"/>
        <v>0</v>
      </c>
      <c r="AJ86" s="4">
        <f t="shared" si="11"/>
        <v>0</v>
      </c>
      <c r="AK86" s="4">
        <f t="shared" si="12"/>
        <v>0</v>
      </c>
    </row>
    <row r="87" spans="1:37" x14ac:dyDescent="0.25">
      <c r="A87" s="2">
        <v>82</v>
      </c>
      <c r="B87" s="2">
        <f>Annual_Report!B83</f>
        <v>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4">
        <f t="shared" si="9"/>
        <v>0</v>
      </c>
      <c r="AI87" s="4">
        <f t="shared" si="10"/>
        <v>0</v>
      </c>
      <c r="AJ87" s="4">
        <f t="shared" si="11"/>
        <v>0</v>
      </c>
      <c r="AK87" s="4">
        <f t="shared" si="12"/>
        <v>0</v>
      </c>
    </row>
    <row r="88" spans="1:37" x14ac:dyDescent="0.25">
      <c r="A88" s="2">
        <v>83</v>
      </c>
      <c r="B88" s="2">
        <f>Annual_Report!B84</f>
        <v>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4">
        <f t="shared" si="9"/>
        <v>0</v>
      </c>
      <c r="AI88" s="4">
        <f t="shared" si="10"/>
        <v>0</v>
      </c>
      <c r="AJ88" s="4">
        <f t="shared" si="11"/>
        <v>0</v>
      </c>
      <c r="AK88" s="4">
        <f t="shared" si="12"/>
        <v>0</v>
      </c>
    </row>
    <row r="89" spans="1:37" x14ac:dyDescent="0.25">
      <c r="A89" s="2">
        <v>84</v>
      </c>
      <c r="B89" s="2">
        <f>Annual_Report!B85</f>
        <v>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4">
        <f t="shared" si="9"/>
        <v>0</v>
      </c>
      <c r="AI89" s="4">
        <f t="shared" si="10"/>
        <v>0</v>
      </c>
      <c r="AJ89" s="4">
        <f t="shared" si="11"/>
        <v>0</v>
      </c>
      <c r="AK89" s="4">
        <f t="shared" si="12"/>
        <v>0</v>
      </c>
    </row>
    <row r="90" spans="1:37" x14ac:dyDescent="0.25">
      <c r="A90" s="2">
        <v>85</v>
      </c>
      <c r="B90" s="2">
        <f>Annual_Report!B86</f>
        <v>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4">
        <f t="shared" si="9"/>
        <v>0</v>
      </c>
      <c r="AI90" s="4">
        <f t="shared" si="10"/>
        <v>0</v>
      </c>
      <c r="AJ90" s="4">
        <f t="shared" si="11"/>
        <v>0</v>
      </c>
      <c r="AK90" s="4">
        <f t="shared" si="12"/>
        <v>0</v>
      </c>
    </row>
    <row r="91" spans="1:37" x14ac:dyDescent="0.25">
      <c r="A91" s="2">
        <v>86</v>
      </c>
      <c r="B91" s="2">
        <f>Annual_Report!B87</f>
        <v>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4">
        <f t="shared" si="9"/>
        <v>0</v>
      </c>
      <c r="AI91" s="4">
        <f t="shared" si="10"/>
        <v>0</v>
      </c>
      <c r="AJ91" s="4">
        <f t="shared" si="11"/>
        <v>0</v>
      </c>
      <c r="AK91" s="4">
        <f t="shared" si="12"/>
        <v>0</v>
      </c>
    </row>
    <row r="92" spans="1:37" x14ac:dyDescent="0.25">
      <c r="A92" s="2">
        <v>87</v>
      </c>
      <c r="B92" s="2">
        <f>Annual_Report!B88</f>
        <v>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4">
        <f t="shared" si="9"/>
        <v>0</v>
      </c>
      <c r="AI92" s="4">
        <f t="shared" si="10"/>
        <v>0</v>
      </c>
      <c r="AJ92" s="4">
        <f t="shared" si="11"/>
        <v>0</v>
      </c>
      <c r="AK92" s="4">
        <f t="shared" si="12"/>
        <v>0</v>
      </c>
    </row>
    <row r="93" spans="1:37" x14ac:dyDescent="0.25">
      <c r="A93" s="2">
        <v>88</v>
      </c>
      <c r="B93" s="2">
        <f>Annual_Report!B89</f>
        <v>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4">
        <f t="shared" si="9"/>
        <v>0</v>
      </c>
      <c r="AI93" s="4">
        <f t="shared" si="10"/>
        <v>0</v>
      </c>
      <c r="AJ93" s="4">
        <f t="shared" si="11"/>
        <v>0</v>
      </c>
      <c r="AK93" s="4">
        <f t="shared" si="12"/>
        <v>0</v>
      </c>
    </row>
    <row r="94" spans="1:37" x14ac:dyDescent="0.25">
      <c r="A94" s="2">
        <v>89</v>
      </c>
      <c r="B94" s="2">
        <f>Annual_Report!B90</f>
        <v>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4">
        <f t="shared" si="9"/>
        <v>0</v>
      </c>
      <c r="AI94" s="4">
        <f t="shared" si="10"/>
        <v>0</v>
      </c>
      <c r="AJ94" s="4">
        <f t="shared" si="11"/>
        <v>0</v>
      </c>
      <c r="AK94" s="4">
        <f t="shared" si="12"/>
        <v>0</v>
      </c>
    </row>
    <row r="95" spans="1:37" x14ac:dyDescent="0.25">
      <c r="A95" s="2">
        <v>90</v>
      </c>
      <c r="B95" s="2">
        <f>Annual_Report!B91</f>
        <v>0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4">
        <f t="shared" si="9"/>
        <v>0</v>
      </c>
      <c r="AI95" s="4">
        <f t="shared" si="10"/>
        <v>0</v>
      </c>
      <c r="AJ95" s="4">
        <f t="shared" si="11"/>
        <v>0</v>
      </c>
      <c r="AK95" s="4">
        <f t="shared" si="12"/>
        <v>0</v>
      </c>
    </row>
    <row r="96" spans="1:37" x14ac:dyDescent="0.25">
      <c r="A96" s="2">
        <v>91</v>
      </c>
      <c r="B96" s="2">
        <f>Annual_Report!B92</f>
        <v>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4">
        <f t="shared" si="9"/>
        <v>0</v>
      </c>
      <c r="AI96" s="4">
        <f t="shared" si="10"/>
        <v>0</v>
      </c>
      <c r="AJ96" s="4">
        <f t="shared" si="11"/>
        <v>0</v>
      </c>
      <c r="AK96" s="4">
        <f t="shared" si="12"/>
        <v>0</v>
      </c>
    </row>
    <row r="97" spans="1:37" x14ac:dyDescent="0.25">
      <c r="A97" s="2">
        <v>92</v>
      </c>
      <c r="B97" s="2">
        <f>Annual_Report!B93</f>
        <v>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4">
        <f t="shared" si="9"/>
        <v>0</v>
      </c>
      <c r="AI97" s="4">
        <f t="shared" si="10"/>
        <v>0</v>
      </c>
      <c r="AJ97" s="4">
        <f t="shared" si="11"/>
        <v>0</v>
      </c>
      <c r="AK97" s="4">
        <f t="shared" si="12"/>
        <v>0</v>
      </c>
    </row>
    <row r="98" spans="1:37" x14ac:dyDescent="0.25">
      <c r="A98" s="2">
        <v>93</v>
      </c>
      <c r="B98" s="2">
        <f>Annual_Report!B94</f>
        <v>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4">
        <f t="shared" si="9"/>
        <v>0</v>
      </c>
      <c r="AI98" s="4">
        <f t="shared" si="10"/>
        <v>0</v>
      </c>
      <c r="AJ98" s="4">
        <f t="shared" si="11"/>
        <v>0</v>
      </c>
      <c r="AK98" s="4">
        <f t="shared" si="12"/>
        <v>0</v>
      </c>
    </row>
    <row r="99" spans="1:37" x14ac:dyDescent="0.25">
      <c r="A99" s="2">
        <v>94</v>
      </c>
      <c r="B99" s="2">
        <f>Annual_Report!B95</f>
        <v>0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4">
        <f t="shared" si="9"/>
        <v>0</v>
      </c>
      <c r="AI99" s="4">
        <f t="shared" si="10"/>
        <v>0</v>
      </c>
      <c r="AJ99" s="4">
        <f t="shared" si="11"/>
        <v>0</v>
      </c>
      <c r="AK99" s="4">
        <f t="shared" si="12"/>
        <v>0</v>
      </c>
    </row>
    <row r="100" spans="1:37" x14ac:dyDescent="0.25">
      <c r="A100" s="2">
        <v>95</v>
      </c>
      <c r="B100" s="2">
        <f>Annual_Report!B96</f>
        <v>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4">
        <f t="shared" si="9"/>
        <v>0</v>
      </c>
      <c r="AI100" s="4">
        <f t="shared" si="10"/>
        <v>0</v>
      </c>
      <c r="AJ100" s="4">
        <f t="shared" si="11"/>
        <v>0</v>
      </c>
      <c r="AK100" s="4">
        <f t="shared" si="12"/>
        <v>0</v>
      </c>
    </row>
    <row r="101" spans="1:37" x14ac:dyDescent="0.25">
      <c r="A101" s="2">
        <v>96</v>
      </c>
      <c r="B101" s="2">
        <f>Annual_Report!B97</f>
        <v>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4">
        <f t="shared" si="9"/>
        <v>0</v>
      </c>
      <c r="AI101" s="4">
        <f t="shared" si="10"/>
        <v>0</v>
      </c>
      <c r="AJ101" s="4">
        <f t="shared" si="11"/>
        <v>0</v>
      </c>
      <c r="AK101" s="4">
        <f t="shared" si="12"/>
        <v>0</v>
      </c>
    </row>
    <row r="102" spans="1:37" x14ac:dyDescent="0.25">
      <c r="A102" s="2">
        <v>97</v>
      </c>
      <c r="B102" s="2">
        <f>Annual_Report!B98</f>
        <v>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4">
        <f t="shared" si="9"/>
        <v>0</v>
      </c>
      <c r="AI102" s="4">
        <f t="shared" si="10"/>
        <v>0</v>
      </c>
      <c r="AJ102" s="4">
        <f t="shared" si="11"/>
        <v>0</v>
      </c>
      <c r="AK102" s="4">
        <f t="shared" si="12"/>
        <v>0</v>
      </c>
    </row>
    <row r="103" spans="1:37" x14ac:dyDescent="0.25">
      <c r="A103" s="2">
        <v>98</v>
      </c>
      <c r="B103" s="2">
        <f>Annual_Report!B99</f>
        <v>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4">
        <f t="shared" si="9"/>
        <v>0</v>
      </c>
      <c r="AI103" s="4">
        <f t="shared" si="10"/>
        <v>0</v>
      </c>
      <c r="AJ103" s="4">
        <f t="shared" si="11"/>
        <v>0</v>
      </c>
      <c r="AK103" s="4">
        <f t="shared" si="12"/>
        <v>0</v>
      </c>
    </row>
    <row r="104" spans="1:37" x14ac:dyDescent="0.25">
      <c r="A104" s="2">
        <v>99</v>
      </c>
      <c r="B104" s="2">
        <f>Annual_Report!B100</f>
        <v>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4">
        <f t="shared" si="9"/>
        <v>0</v>
      </c>
      <c r="AI104" s="4">
        <f t="shared" si="10"/>
        <v>0</v>
      </c>
      <c r="AJ104" s="4">
        <f t="shared" si="11"/>
        <v>0</v>
      </c>
      <c r="AK104" s="4">
        <f t="shared" si="12"/>
        <v>0</v>
      </c>
    </row>
    <row r="105" spans="1:37" x14ac:dyDescent="0.25">
      <c r="A105" s="2">
        <v>100</v>
      </c>
      <c r="B105" s="2">
        <f>Annual_Report!B101</f>
        <v>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4">
        <f t="shared" si="9"/>
        <v>0</v>
      </c>
      <c r="AI105" s="4">
        <f t="shared" si="10"/>
        <v>0</v>
      </c>
      <c r="AJ105" s="4">
        <f t="shared" si="11"/>
        <v>0</v>
      </c>
      <c r="AK105" s="4">
        <f t="shared" si="12"/>
        <v>0</v>
      </c>
    </row>
  </sheetData>
  <conditionalFormatting sqref="C6:AG105">
    <cfRule type="cellIs" dxfId="29" priority="1" stopIfTrue="1" operator="equal">
      <formula>"ح"</formula>
    </cfRule>
    <cfRule type="cellIs" dxfId="28" priority="2" stopIfTrue="1" operator="equal">
      <formula>"غ"</formula>
    </cfRule>
    <cfRule type="cellIs" dxfId="27" priority="3" stopIfTrue="1" operator="equal">
      <formula>"ج"</formula>
    </cfRule>
    <cfRule type="cellIs" dxfId="26" priority="4" stopIfTrue="1" operator="equal">
      <formula>"م"</formula>
    </cfRule>
    <cfRule type="cellIs" dxfId="25" priority="5" stopIfTrue="1" operator="equal">
      <formula>"ج"</formula>
    </cfRule>
    <cfRule type="cellIs" dxfId="24" priority="6" stopIfTrue="1" operator="equal">
      <formula>"م"</formula>
    </cfRule>
  </conditionalFormatting>
  <dataValidations count="1">
    <dataValidation type="list" allowBlank="1" showErrorMessage="1" errorTitle="خطأ في الإدخال" error="يرجى استخدام الحروف الصحيحة: ح - غ - ج - م" sqref="C6:AG105" xr:uid="{D3DE60FB-95F7-4C0A-8617-5FBD7807D3E7}">
      <formula1>"ح,غ,ج,م"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9F7F9-6746-40DD-B2B9-4E2571BCA1ED}">
  <sheetPr codeName="Sheet89"/>
  <dimension ref="A1:AK105"/>
  <sheetViews>
    <sheetView rightToLeft="1" workbookViewId="0"/>
  </sheetViews>
  <sheetFormatPr defaultRowHeight="15" x14ac:dyDescent="0.25"/>
  <cols>
    <col min="1" max="1" width="4.7109375" customWidth="1"/>
    <col min="2" max="2" width="25.7109375" customWidth="1"/>
    <col min="3" max="33" width="4.7109375" customWidth="1"/>
    <col min="34" max="34" width="5.85546875" bestFit="1" customWidth="1"/>
    <col min="35" max="35" width="4.7109375" bestFit="1" customWidth="1"/>
    <col min="36" max="36" width="4.5703125" bestFit="1" customWidth="1"/>
    <col min="37" max="37" width="6" bestFit="1" customWidth="1"/>
  </cols>
  <sheetData>
    <row r="1" spans="1:37" x14ac:dyDescent="0.25">
      <c r="A1" s="6"/>
      <c r="B1" s="6"/>
      <c r="C1" s="5" t="s">
        <v>9</v>
      </c>
      <c r="D1" s="5" t="s">
        <v>0</v>
      </c>
      <c r="E1" s="5" t="s">
        <v>1</v>
      </c>
      <c r="F1" s="5" t="s">
        <v>10</v>
      </c>
      <c r="G1" s="5" t="s">
        <v>11</v>
      </c>
    </row>
    <row r="2" spans="1:37" x14ac:dyDescent="0.25">
      <c r="A2" s="6"/>
      <c r="B2" s="6"/>
      <c r="C2" s="5" t="s">
        <v>12</v>
      </c>
      <c r="D2" s="5" t="s">
        <v>6</v>
      </c>
      <c r="E2" s="5" t="s">
        <v>7</v>
      </c>
      <c r="F2" s="5" t="s">
        <v>8</v>
      </c>
      <c r="G2" s="5" t="s">
        <v>2</v>
      </c>
    </row>
    <row r="4" spans="1:37" ht="65.099999999999994" customHeight="1" x14ac:dyDescent="0.25">
      <c r="A4" s="2" t="s">
        <v>2</v>
      </c>
      <c r="B4" s="2" t="s">
        <v>3</v>
      </c>
      <c r="C4" s="1" t="str">
        <f>CHOOSE(WEEKDAY(C5), "الأحد","الاثنين","الثلاثاء","الأربعاء","الخميس","الجمعة","السبت")</f>
        <v>الثلاثاء</v>
      </c>
      <c r="D4" s="1" t="str">
        <f t="shared" ref="D4:AG4" si="0">CHOOSE(WEEKDAY(D5), "الأحد","الاثنين","الثلاثاء","الأربعاء","الخميس","الجمعة","السبت")</f>
        <v>الأربعاء</v>
      </c>
      <c r="E4" s="1" t="str">
        <f t="shared" si="0"/>
        <v>الخميس</v>
      </c>
      <c r="F4" s="1" t="str">
        <f t="shared" si="0"/>
        <v>الجمعة</v>
      </c>
      <c r="G4" s="1" t="str">
        <f t="shared" si="0"/>
        <v>السبت</v>
      </c>
      <c r="H4" s="1" t="str">
        <f t="shared" si="0"/>
        <v>الأحد</v>
      </c>
      <c r="I4" s="1" t="str">
        <f t="shared" si="0"/>
        <v>الاثنين</v>
      </c>
      <c r="J4" s="1" t="str">
        <f t="shared" si="0"/>
        <v>الثلاثاء</v>
      </c>
      <c r="K4" s="1" t="str">
        <f t="shared" si="0"/>
        <v>الأربعاء</v>
      </c>
      <c r="L4" s="1" t="str">
        <f t="shared" si="0"/>
        <v>الخميس</v>
      </c>
      <c r="M4" s="1" t="str">
        <f t="shared" si="0"/>
        <v>الجمعة</v>
      </c>
      <c r="N4" s="1" t="str">
        <f t="shared" si="0"/>
        <v>السبت</v>
      </c>
      <c r="O4" s="1" t="str">
        <f t="shared" si="0"/>
        <v>الأحد</v>
      </c>
      <c r="P4" s="1" t="str">
        <f t="shared" si="0"/>
        <v>الاثنين</v>
      </c>
      <c r="Q4" s="1" t="str">
        <f t="shared" si="0"/>
        <v>الثلاثاء</v>
      </c>
      <c r="R4" s="1" t="str">
        <f t="shared" si="0"/>
        <v>الأربعاء</v>
      </c>
      <c r="S4" s="1" t="str">
        <f t="shared" si="0"/>
        <v>الخميس</v>
      </c>
      <c r="T4" s="1" t="str">
        <f t="shared" si="0"/>
        <v>الجمعة</v>
      </c>
      <c r="U4" s="1" t="str">
        <f t="shared" si="0"/>
        <v>السبت</v>
      </c>
      <c r="V4" s="1" t="str">
        <f t="shared" si="0"/>
        <v>الأحد</v>
      </c>
      <c r="W4" s="1" t="str">
        <f t="shared" si="0"/>
        <v>الاثنين</v>
      </c>
      <c r="X4" s="1" t="str">
        <f t="shared" si="0"/>
        <v>الثلاثاء</v>
      </c>
      <c r="Y4" s="1" t="str">
        <f t="shared" si="0"/>
        <v>الأربعاء</v>
      </c>
      <c r="Z4" s="1" t="str">
        <f t="shared" si="0"/>
        <v>الخميس</v>
      </c>
      <c r="AA4" s="1" t="str">
        <f t="shared" si="0"/>
        <v>الجمعة</v>
      </c>
      <c r="AB4" s="1" t="str">
        <f t="shared" si="0"/>
        <v>السبت</v>
      </c>
      <c r="AC4" s="1" t="str">
        <f t="shared" si="0"/>
        <v>الأحد</v>
      </c>
      <c r="AD4" s="1" t="str">
        <f t="shared" si="0"/>
        <v>الاثنين</v>
      </c>
      <c r="AE4" s="1" t="str">
        <f t="shared" si="0"/>
        <v>الثلاثاء</v>
      </c>
      <c r="AF4" s="1" t="str">
        <f t="shared" si="0"/>
        <v>الأربعاء</v>
      </c>
      <c r="AG4" s="1" t="str">
        <f t="shared" si="0"/>
        <v>السبت</v>
      </c>
      <c r="AH4" s="9" t="s">
        <v>0</v>
      </c>
      <c r="AI4" s="9" t="s">
        <v>1</v>
      </c>
      <c r="AJ4" s="9" t="s">
        <v>10</v>
      </c>
      <c r="AK4" s="9" t="s">
        <v>11</v>
      </c>
    </row>
    <row r="5" spans="1:37" x14ac:dyDescent="0.25">
      <c r="A5" s="2"/>
      <c r="B5" s="2"/>
      <c r="C5" s="3" cm="1">
        <f t="array" ref="C5:AF5">_xlfn.SEQUENCE(1, DAY(EOMONTH(DATE(2026,9,1),0)), DATE(2026,9,1))</f>
        <v>46266</v>
      </c>
      <c r="D5" s="3">
        <v>46267</v>
      </c>
      <c r="E5" s="3">
        <v>46268</v>
      </c>
      <c r="F5" s="3">
        <v>46269</v>
      </c>
      <c r="G5" s="3">
        <v>46270</v>
      </c>
      <c r="H5" s="3">
        <v>46271</v>
      </c>
      <c r="I5" s="3">
        <v>46272</v>
      </c>
      <c r="J5" s="3">
        <v>46273</v>
      </c>
      <c r="K5" s="3">
        <v>46274</v>
      </c>
      <c r="L5" s="3">
        <v>46275</v>
      </c>
      <c r="M5" s="3">
        <v>46276</v>
      </c>
      <c r="N5" s="3">
        <v>46277</v>
      </c>
      <c r="O5" s="3">
        <v>46278</v>
      </c>
      <c r="P5" s="3">
        <v>46279</v>
      </c>
      <c r="Q5" s="3">
        <v>46280</v>
      </c>
      <c r="R5" s="3">
        <v>46281</v>
      </c>
      <c r="S5" s="3">
        <v>46282</v>
      </c>
      <c r="T5" s="3">
        <v>46283</v>
      </c>
      <c r="U5" s="3">
        <v>46284</v>
      </c>
      <c r="V5" s="3">
        <v>46285</v>
      </c>
      <c r="W5" s="3">
        <v>46286</v>
      </c>
      <c r="X5" s="3">
        <v>46287</v>
      </c>
      <c r="Y5" s="3">
        <v>46288</v>
      </c>
      <c r="Z5" s="3">
        <v>46289</v>
      </c>
      <c r="AA5" s="3">
        <v>46290</v>
      </c>
      <c r="AB5" s="3">
        <v>46291</v>
      </c>
      <c r="AC5" s="3">
        <v>46292</v>
      </c>
      <c r="AD5" s="3">
        <v>46293</v>
      </c>
      <c r="AE5" s="3">
        <v>46294</v>
      </c>
      <c r="AF5" s="3">
        <v>46295</v>
      </c>
      <c r="AG5" s="3"/>
      <c r="AH5" s="4"/>
      <c r="AI5" s="4"/>
      <c r="AJ5" s="4"/>
      <c r="AK5" s="4"/>
    </row>
    <row r="6" spans="1:37" x14ac:dyDescent="0.25">
      <c r="A6" s="2">
        <v>1</v>
      </c>
      <c r="B6" s="2">
        <f>Annual_Report!B2</f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4">
        <f t="shared" ref="AH6:AH37" si="1">COUNTIF($C6:$AG6, "ح")</f>
        <v>0</v>
      </c>
      <c r="AI6" s="4">
        <f t="shared" ref="AI6:AI37" si="2">COUNTIF($C6:$AG6, "غ")</f>
        <v>0</v>
      </c>
      <c r="AJ6" s="4">
        <f t="shared" ref="AJ6:AJ37" si="3">COUNTIF($C6:$AG6, "ج")</f>
        <v>0</v>
      </c>
      <c r="AK6" s="4">
        <f t="shared" ref="AK6:AK37" si="4">COUNTIF($C6:$AG6, "م")</f>
        <v>0</v>
      </c>
    </row>
    <row r="7" spans="1:37" x14ac:dyDescent="0.25">
      <c r="A7" s="2">
        <v>2</v>
      </c>
      <c r="B7" s="2">
        <f>Annual_Report!B3</f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4">
        <f t="shared" si="1"/>
        <v>0</v>
      </c>
      <c r="AI7" s="4">
        <f t="shared" si="2"/>
        <v>0</v>
      </c>
      <c r="AJ7" s="4">
        <f t="shared" si="3"/>
        <v>0</v>
      </c>
      <c r="AK7" s="4">
        <f t="shared" si="4"/>
        <v>0</v>
      </c>
    </row>
    <row r="8" spans="1:37" x14ac:dyDescent="0.25">
      <c r="A8" s="2">
        <v>3</v>
      </c>
      <c r="B8" s="2">
        <f>Annual_Report!B4</f>
        <v>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4">
        <f t="shared" si="1"/>
        <v>0</v>
      </c>
      <c r="AI8" s="4">
        <f t="shared" si="2"/>
        <v>0</v>
      </c>
      <c r="AJ8" s="4">
        <f t="shared" si="3"/>
        <v>0</v>
      </c>
      <c r="AK8" s="4">
        <f t="shared" si="4"/>
        <v>0</v>
      </c>
    </row>
    <row r="9" spans="1:37" x14ac:dyDescent="0.25">
      <c r="A9" s="2">
        <v>4</v>
      </c>
      <c r="B9" s="2">
        <f>Annual_Report!B5</f>
        <v>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4">
        <f t="shared" si="1"/>
        <v>0</v>
      </c>
      <c r="AI9" s="4">
        <f t="shared" si="2"/>
        <v>0</v>
      </c>
      <c r="AJ9" s="4">
        <f t="shared" si="3"/>
        <v>0</v>
      </c>
      <c r="AK9" s="4">
        <f t="shared" si="4"/>
        <v>0</v>
      </c>
    </row>
    <row r="10" spans="1:37" x14ac:dyDescent="0.25">
      <c r="A10" s="2">
        <v>5</v>
      </c>
      <c r="B10" s="2">
        <f>Annual_Report!B6</f>
        <v>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4">
        <f t="shared" si="1"/>
        <v>0</v>
      </c>
      <c r="AI10" s="4">
        <f t="shared" si="2"/>
        <v>0</v>
      </c>
      <c r="AJ10" s="4">
        <f t="shared" si="3"/>
        <v>0</v>
      </c>
      <c r="AK10" s="4">
        <f t="shared" si="4"/>
        <v>0</v>
      </c>
    </row>
    <row r="11" spans="1:37" x14ac:dyDescent="0.25">
      <c r="A11" s="2">
        <v>6</v>
      </c>
      <c r="B11" s="2">
        <f>Annual_Report!B7</f>
        <v>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4">
        <f t="shared" si="1"/>
        <v>0</v>
      </c>
      <c r="AI11" s="4">
        <f t="shared" si="2"/>
        <v>0</v>
      </c>
      <c r="AJ11" s="4">
        <f t="shared" si="3"/>
        <v>0</v>
      </c>
      <c r="AK11" s="4">
        <f t="shared" si="4"/>
        <v>0</v>
      </c>
    </row>
    <row r="12" spans="1:37" x14ac:dyDescent="0.25">
      <c r="A12" s="2">
        <v>7</v>
      </c>
      <c r="B12" s="2">
        <f>Annual_Report!B8</f>
        <v>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4">
        <f t="shared" si="1"/>
        <v>0</v>
      </c>
      <c r="AI12" s="4">
        <f t="shared" si="2"/>
        <v>0</v>
      </c>
      <c r="AJ12" s="4">
        <f t="shared" si="3"/>
        <v>0</v>
      </c>
      <c r="AK12" s="4">
        <f t="shared" si="4"/>
        <v>0</v>
      </c>
    </row>
    <row r="13" spans="1:37" x14ac:dyDescent="0.25">
      <c r="A13" s="2">
        <v>8</v>
      </c>
      <c r="B13" s="2">
        <f>Annual_Report!B9</f>
        <v>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4">
        <f t="shared" si="1"/>
        <v>0</v>
      </c>
      <c r="AI13" s="4">
        <f t="shared" si="2"/>
        <v>0</v>
      </c>
      <c r="AJ13" s="4">
        <f t="shared" si="3"/>
        <v>0</v>
      </c>
      <c r="AK13" s="4">
        <f t="shared" si="4"/>
        <v>0</v>
      </c>
    </row>
    <row r="14" spans="1:37" x14ac:dyDescent="0.25">
      <c r="A14" s="2">
        <v>9</v>
      </c>
      <c r="B14" s="2">
        <f>Annual_Report!B10</f>
        <v>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4">
        <f t="shared" si="1"/>
        <v>0</v>
      </c>
      <c r="AI14" s="4">
        <f t="shared" si="2"/>
        <v>0</v>
      </c>
      <c r="AJ14" s="4">
        <f t="shared" si="3"/>
        <v>0</v>
      </c>
      <c r="AK14" s="4">
        <f t="shared" si="4"/>
        <v>0</v>
      </c>
    </row>
    <row r="15" spans="1:37" x14ac:dyDescent="0.25">
      <c r="A15" s="2">
        <v>10</v>
      </c>
      <c r="B15" s="2">
        <f>Annual_Report!B11</f>
        <v>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4">
        <f t="shared" si="1"/>
        <v>0</v>
      </c>
      <c r="AI15" s="4">
        <f t="shared" si="2"/>
        <v>0</v>
      </c>
      <c r="AJ15" s="4">
        <f t="shared" si="3"/>
        <v>0</v>
      </c>
      <c r="AK15" s="4">
        <f t="shared" si="4"/>
        <v>0</v>
      </c>
    </row>
    <row r="16" spans="1:37" x14ac:dyDescent="0.25">
      <c r="A16" s="2">
        <v>11</v>
      </c>
      <c r="B16" s="2">
        <f>Annual_Report!B12</f>
        <v>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4">
        <f t="shared" si="1"/>
        <v>0</v>
      </c>
      <c r="AI16" s="4">
        <f t="shared" si="2"/>
        <v>0</v>
      </c>
      <c r="AJ16" s="4">
        <f t="shared" si="3"/>
        <v>0</v>
      </c>
      <c r="AK16" s="4">
        <f t="shared" si="4"/>
        <v>0</v>
      </c>
    </row>
    <row r="17" spans="1:37" x14ac:dyDescent="0.25">
      <c r="A17" s="2">
        <v>12</v>
      </c>
      <c r="B17" s="2">
        <f>Annual_Report!B13</f>
        <v>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4">
        <f t="shared" si="1"/>
        <v>0</v>
      </c>
      <c r="AI17" s="4">
        <f t="shared" si="2"/>
        <v>0</v>
      </c>
      <c r="AJ17" s="4">
        <f t="shared" si="3"/>
        <v>0</v>
      </c>
      <c r="AK17" s="4">
        <f t="shared" si="4"/>
        <v>0</v>
      </c>
    </row>
    <row r="18" spans="1:37" x14ac:dyDescent="0.25">
      <c r="A18" s="2">
        <v>13</v>
      </c>
      <c r="B18" s="2">
        <f>Annual_Report!B14</f>
        <v>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4">
        <f t="shared" si="1"/>
        <v>0</v>
      </c>
      <c r="AI18" s="4">
        <f t="shared" si="2"/>
        <v>0</v>
      </c>
      <c r="AJ18" s="4">
        <f t="shared" si="3"/>
        <v>0</v>
      </c>
      <c r="AK18" s="4">
        <f t="shared" si="4"/>
        <v>0</v>
      </c>
    </row>
    <row r="19" spans="1:37" x14ac:dyDescent="0.25">
      <c r="A19" s="2">
        <v>14</v>
      </c>
      <c r="B19" s="2">
        <f>Annual_Report!B15</f>
        <v>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4">
        <f t="shared" si="1"/>
        <v>0</v>
      </c>
      <c r="AI19" s="4">
        <f t="shared" si="2"/>
        <v>0</v>
      </c>
      <c r="AJ19" s="4">
        <f t="shared" si="3"/>
        <v>0</v>
      </c>
      <c r="AK19" s="4">
        <f t="shared" si="4"/>
        <v>0</v>
      </c>
    </row>
    <row r="20" spans="1:37" x14ac:dyDescent="0.25">
      <c r="A20" s="2">
        <v>15</v>
      </c>
      <c r="B20" s="2">
        <f>Annual_Report!B16</f>
        <v>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4">
        <f t="shared" si="1"/>
        <v>0</v>
      </c>
      <c r="AI20" s="4">
        <f t="shared" si="2"/>
        <v>0</v>
      </c>
      <c r="AJ20" s="4">
        <f t="shared" si="3"/>
        <v>0</v>
      </c>
      <c r="AK20" s="4">
        <f t="shared" si="4"/>
        <v>0</v>
      </c>
    </row>
    <row r="21" spans="1:37" x14ac:dyDescent="0.25">
      <c r="A21" s="2">
        <v>16</v>
      </c>
      <c r="B21" s="2">
        <f>Annual_Report!B17</f>
        <v>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4">
        <f t="shared" si="1"/>
        <v>0</v>
      </c>
      <c r="AI21" s="4">
        <f t="shared" si="2"/>
        <v>0</v>
      </c>
      <c r="AJ21" s="4">
        <f t="shared" si="3"/>
        <v>0</v>
      </c>
      <c r="AK21" s="4">
        <f t="shared" si="4"/>
        <v>0</v>
      </c>
    </row>
    <row r="22" spans="1:37" x14ac:dyDescent="0.25">
      <c r="A22" s="2">
        <v>17</v>
      </c>
      <c r="B22" s="2">
        <f>Annual_Report!B18</f>
        <v>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4">
        <f t="shared" si="1"/>
        <v>0</v>
      </c>
      <c r="AI22" s="4">
        <f t="shared" si="2"/>
        <v>0</v>
      </c>
      <c r="AJ22" s="4">
        <f t="shared" si="3"/>
        <v>0</v>
      </c>
      <c r="AK22" s="4">
        <f t="shared" si="4"/>
        <v>0</v>
      </c>
    </row>
    <row r="23" spans="1:37" x14ac:dyDescent="0.25">
      <c r="A23" s="2">
        <v>18</v>
      </c>
      <c r="B23" s="2">
        <f>Annual_Report!B19</f>
        <v>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4">
        <f t="shared" si="1"/>
        <v>0</v>
      </c>
      <c r="AI23" s="4">
        <f t="shared" si="2"/>
        <v>0</v>
      </c>
      <c r="AJ23" s="4">
        <f t="shared" si="3"/>
        <v>0</v>
      </c>
      <c r="AK23" s="4">
        <f t="shared" si="4"/>
        <v>0</v>
      </c>
    </row>
    <row r="24" spans="1:37" x14ac:dyDescent="0.25">
      <c r="A24" s="2">
        <v>19</v>
      </c>
      <c r="B24" s="2">
        <f>Annual_Report!B20</f>
        <v>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4">
        <f t="shared" si="1"/>
        <v>0</v>
      </c>
      <c r="AI24" s="4">
        <f t="shared" si="2"/>
        <v>0</v>
      </c>
      <c r="AJ24" s="4">
        <f t="shared" si="3"/>
        <v>0</v>
      </c>
      <c r="AK24" s="4">
        <f t="shared" si="4"/>
        <v>0</v>
      </c>
    </row>
    <row r="25" spans="1:37" x14ac:dyDescent="0.25">
      <c r="A25" s="2">
        <v>20</v>
      </c>
      <c r="B25" s="2">
        <f>Annual_Report!B21</f>
        <v>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4">
        <f t="shared" si="1"/>
        <v>0</v>
      </c>
      <c r="AI25" s="4">
        <f t="shared" si="2"/>
        <v>0</v>
      </c>
      <c r="AJ25" s="4">
        <f t="shared" si="3"/>
        <v>0</v>
      </c>
      <c r="AK25" s="4">
        <f t="shared" si="4"/>
        <v>0</v>
      </c>
    </row>
    <row r="26" spans="1:37" x14ac:dyDescent="0.25">
      <c r="A26" s="2">
        <v>21</v>
      </c>
      <c r="B26" s="2">
        <f>Annual_Report!B22</f>
        <v>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4">
        <f t="shared" si="1"/>
        <v>0</v>
      </c>
      <c r="AI26" s="4">
        <f t="shared" si="2"/>
        <v>0</v>
      </c>
      <c r="AJ26" s="4">
        <f t="shared" si="3"/>
        <v>0</v>
      </c>
      <c r="AK26" s="4">
        <f t="shared" si="4"/>
        <v>0</v>
      </c>
    </row>
    <row r="27" spans="1:37" x14ac:dyDescent="0.25">
      <c r="A27" s="2">
        <v>22</v>
      </c>
      <c r="B27" s="2">
        <f>Annual_Report!B23</f>
        <v>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4">
        <f t="shared" si="1"/>
        <v>0</v>
      </c>
      <c r="AI27" s="4">
        <f t="shared" si="2"/>
        <v>0</v>
      </c>
      <c r="AJ27" s="4">
        <f t="shared" si="3"/>
        <v>0</v>
      </c>
      <c r="AK27" s="4">
        <f t="shared" si="4"/>
        <v>0</v>
      </c>
    </row>
    <row r="28" spans="1:37" x14ac:dyDescent="0.25">
      <c r="A28" s="2">
        <v>23</v>
      </c>
      <c r="B28" s="2">
        <f>Annual_Report!B24</f>
        <v>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4">
        <f t="shared" si="1"/>
        <v>0</v>
      </c>
      <c r="AI28" s="4">
        <f t="shared" si="2"/>
        <v>0</v>
      </c>
      <c r="AJ28" s="4">
        <f t="shared" si="3"/>
        <v>0</v>
      </c>
      <c r="AK28" s="4">
        <f t="shared" si="4"/>
        <v>0</v>
      </c>
    </row>
    <row r="29" spans="1:37" x14ac:dyDescent="0.25">
      <c r="A29" s="2">
        <v>24</v>
      </c>
      <c r="B29" s="2">
        <f>Annual_Report!B25</f>
        <v>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4">
        <f t="shared" si="1"/>
        <v>0</v>
      </c>
      <c r="AI29" s="4">
        <f t="shared" si="2"/>
        <v>0</v>
      </c>
      <c r="AJ29" s="4">
        <f t="shared" si="3"/>
        <v>0</v>
      </c>
      <c r="AK29" s="4">
        <f t="shared" si="4"/>
        <v>0</v>
      </c>
    </row>
    <row r="30" spans="1:37" x14ac:dyDescent="0.25">
      <c r="A30" s="2">
        <v>25</v>
      </c>
      <c r="B30" s="2">
        <f>Annual_Report!B26</f>
        <v>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4">
        <f t="shared" si="1"/>
        <v>0</v>
      </c>
      <c r="AI30" s="4">
        <f t="shared" si="2"/>
        <v>0</v>
      </c>
      <c r="AJ30" s="4">
        <f t="shared" si="3"/>
        <v>0</v>
      </c>
      <c r="AK30" s="4">
        <f t="shared" si="4"/>
        <v>0</v>
      </c>
    </row>
    <row r="31" spans="1:37" x14ac:dyDescent="0.25">
      <c r="A31" s="2">
        <v>26</v>
      </c>
      <c r="B31" s="2">
        <f>Annual_Report!B27</f>
        <v>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4">
        <f t="shared" si="1"/>
        <v>0</v>
      </c>
      <c r="AI31" s="4">
        <f t="shared" si="2"/>
        <v>0</v>
      </c>
      <c r="AJ31" s="4">
        <f t="shared" si="3"/>
        <v>0</v>
      </c>
      <c r="AK31" s="4">
        <f t="shared" si="4"/>
        <v>0</v>
      </c>
    </row>
    <row r="32" spans="1:37" x14ac:dyDescent="0.25">
      <c r="A32" s="2">
        <v>27</v>
      </c>
      <c r="B32" s="2">
        <f>Annual_Report!B28</f>
        <v>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4">
        <f t="shared" si="1"/>
        <v>0</v>
      </c>
      <c r="AI32" s="4">
        <f t="shared" si="2"/>
        <v>0</v>
      </c>
      <c r="AJ32" s="4">
        <f t="shared" si="3"/>
        <v>0</v>
      </c>
      <c r="AK32" s="4">
        <f t="shared" si="4"/>
        <v>0</v>
      </c>
    </row>
    <row r="33" spans="1:37" x14ac:dyDescent="0.25">
      <c r="A33" s="2">
        <v>28</v>
      </c>
      <c r="B33" s="2">
        <f>Annual_Report!B29</f>
        <v>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4">
        <f t="shared" si="1"/>
        <v>0</v>
      </c>
      <c r="AI33" s="4">
        <f t="shared" si="2"/>
        <v>0</v>
      </c>
      <c r="AJ33" s="4">
        <f t="shared" si="3"/>
        <v>0</v>
      </c>
      <c r="AK33" s="4">
        <f t="shared" si="4"/>
        <v>0</v>
      </c>
    </row>
    <row r="34" spans="1:37" x14ac:dyDescent="0.25">
      <c r="A34" s="2">
        <v>29</v>
      </c>
      <c r="B34" s="2">
        <f>Annual_Report!B30</f>
        <v>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4">
        <f t="shared" si="1"/>
        <v>0</v>
      </c>
      <c r="AI34" s="4">
        <f t="shared" si="2"/>
        <v>0</v>
      </c>
      <c r="AJ34" s="4">
        <f t="shared" si="3"/>
        <v>0</v>
      </c>
      <c r="AK34" s="4">
        <f t="shared" si="4"/>
        <v>0</v>
      </c>
    </row>
    <row r="35" spans="1:37" x14ac:dyDescent="0.25">
      <c r="A35" s="2">
        <v>30</v>
      </c>
      <c r="B35" s="2">
        <f>Annual_Report!B31</f>
        <v>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4">
        <f t="shared" si="1"/>
        <v>0</v>
      </c>
      <c r="AI35" s="4">
        <f t="shared" si="2"/>
        <v>0</v>
      </c>
      <c r="AJ35" s="4">
        <f t="shared" si="3"/>
        <v>0</v>
      </c>
      <c r="AK35" s="4">
        <f t="shared" si="4"/>
        <v>0</v>
      </c>
    </row>
    <row r="36" spans="1:37" x14ac:dyDescent="0.25">
      <c r="A36" s="2">
        <v>31</v>
      </c>
      <c r="B36" s="2">
        <f>Annual_Report!B32</f>
        <v>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4">
        <f t="shared" si="1"/>
        <v>0</v>
      </c>
      <c r="AI36" s="4">
        <f t="shared" si="2"/>
        <v>0</v>
      </c>
      <c r="AJ36" s="4">
        <f t="shared" si="3"/>
        <v>0</v>
      </c>
      <c r="AK36" s="4">
        <f t="shared" si="4"/>
        <v>0</v>
      </c>
    </row>
    <row r="37" spans="1:37" x14ac:dyDescent="0.25">
      <c r="A37" s="2">
        <v>32</v>
      </c>
      <c r="B37" s="2">
        <f>Annual_Report!B33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4">
        <f t="shared" si="1"/>
        <v>0</v>
      </c>
      <c r="AI37" s="4">
        <f t="shared" si="2"/>
        <v>0</v>
      </c>
      <c r="AJ37" s="4">
        <f t="shared" si="3"/>
        <v>0</v>
      </c>
      <c r="AK37" s="4">
        <f t="shared" si="4"/>
        <v>0</v>
      </c>
    </row>
    <row r="38" spans="1:37" x14ac:dyDescent="0.25">
      <c r="A38" s="2">
        <v>33</v>
      </c>
      <c r="B38" s="2">
        <f>Annual_Report!B34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4">
        <f t="shared" ref="AH38:AH69" si="5">COUNTIF($C38:$AG38, "ح")</f>
        <v>0</v>
      </c>
      <c r="AI38" s="4">
        <f t="shared" ref="AI38:AI69" si="6">COUNTIF($C38:$AG38, "غ")</f>
        <v>0</v>
      </c>
      <c r="AJ38" s="4">
        <f t="shared" ref="AJ38:AJ69" si="7">COUNTIF($C38:$AG38, "ج")</f>
        <v>0</v>
      </c>
      <c r="AK38" s="4">
        <f t="shared" ref="AK38:AK69" si="8">COUNTIF($C38:$AG38, "م")</f>
        <v>0</v>
      </c>
    </row>
    <row r="39" spans="1:37" x14ac:dyDescent="0.25">
      <c r="A39" s="2">
        <v>34</v>
      </c>
      <c r="B39" s="2">
        <f>Annual_Report!B35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4">
        <f t="shared" si="5"/>
        <v>0</v>
      </c>
      <c r="AI39" s="4">
        <f t="shared" si="6"/>
        <v>0</v>
      </c>
      <c r="AJ39" s="4">
        <f t="shared" si="7"/>
        <v>0</v>
      </c>
      <c r="AK39" s="4">
        <f t="shared" si="8"/>
        <v>0</v>
      </c>
    </row>
    <row r="40" spans="1:37" x14ac:dyDescent="0.25">
      <c r="A40" s="2">
        <v>35</v>
      </c>
      <c r="B40" s="2">
        <f>Annual_Report!B36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4">
        <f t="shared" si="5"/>
        <v>0</v>
      </c>
      <c r="AI40" s="4">
        <f t="shared" si="6"/>
        <v>0</v>
      </c>
      <c r="AJ40" s="4">
        <f t="shared" si="7"/>
        <v>0</v>
      </c>
      <c r="AK40" s="4">
        <f t="shared" si="8"/>
        <v>0</v>
      </c>
    </row>
    <row r="41" spans="1:37" x14ac:dyDescent="0.25">
      <c r="A41" s="2">
        <v>36</v>
      </c>
      <c r="B41" s="2">
        <f>Annual_Report!B37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4">
        <f t="shared" si="5"/>
        <v>0</v>
      </c>
      <c r="AI41" s="4">
        <f t="shared" si="6"/>
        <v>0</v>
      </c>
      <c r="AJ41" s="4">
        <f t="shared" si="7"/>
        <v>0</v>
      </c>
      <c r="AK41" s="4">
        <f t="shared" si="8"/>
        <v>0</v>
      </c>
    </row>
    <row r="42" spans="1:37" x14ac:dyDescent="0.25">
      <c r="A42" s="2">
        <v>37</v>
      </c>
      <c r="B42" s="2">
        <f>Annual_Report!B38</f>
        <v>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4">
        <f t="shared" si="5"/>
        <v>0</v>
      </c>
      <c r="AI42" s="4">
        <f t="shared" si="6"/>
        <v>0</v>
      </c>
      <c r="AJ42" s="4">
        <f t="shared" si="7"/>
        <v>0</v>
      </c>
      <c r="AK42" s="4">
        <f t="shared" si="8"/>
        <v>0</v>
      </c>
    </row>
    <row r="43" spans="1:37" x14ac:dyDescent="0.25">
      <c r="A43" s="2">
        <v>38</v>
      </c>
      <c r="B43" s="2">
        <f>Annual_Report!B39</f>
        <v>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4">
        <f t="shared" si="5"/>
        <v>0</v>
      </c>
      <c r="AI43" s="4">
        <f t="shared" si="6"/>
        <v>0</v>
      </c>
      <c r="AJ43" s="4">
        <f t="shared" si="7"/>
        <v>0</v>
      </c>
      <c r="AK43" s="4">
        <f t="shared" si="8"/>
        <v>0</v>
      </c>
    </row>
    <row r="44" spans="1:37" x14ac:dyDescent="0.25">
      <c r="A44" s="2">
        <v>39</v>
      </c>
      <c r="B44" s="2">
        <f>Annual_Report!B40</f>
        <v>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4">
        <f t="shared" si="5"/>
        <v>0</v>
      </c>
      <c r="AI44" s="4">
        <f t="shared" si="6"/>
        <v>0</v>
      </c>
      <c r="AJ44" s="4">
        <f t="shared" si="7"/>
        <v>0</v>
      </c>
      <c r="AK44" s="4">
        <f t="shared" si="8"/>
        <v>0</v>
      </c>
    </row>
    <row r="45" spans="1:37" x14ac:dyDescent="0.25">
      <c r="A45" s="2">
        <v>40</v>
      </c>
      <c r="B45" s="2">
        <f>Annual_Report!B41</f>
        <v>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4">
        <f t="shared" si="5"/>
        <v>0</v>
      </c>
      <c r="AI45" s="4">
        <f t="shared" si="6"/>
        <v>0</v>
      </c>
      <c r="AJ45" s="4">
        <f t="shared" si="7"/>
        <v>0</v>
      </c>
      <c r="AK45" s="4">
        <f t="shared" si="8"/>
        <v>0</v>
      </c>
    </row>
    <row r="46" spans="1:37" x14ac:dyDescent="0.25">
      <c r="A46" s="2">
        <v>41</v>
      </c>
      <c r="B46" s="2">
        <f>Annual_Report!B42</f>
        <v>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4">
        <f t="shared" si="5"/>
        <v>0</v>
      </c>
      <c r="AI46" s="4">
        <f t="shared" si="6"/>
        <v>0</v>
      </c>
      <c r="AJ46" s="4">
        <f t="shared" si="7"/>
        <v>0</v>
      </c>
      <c r="AK46" s="4">
        <f t="shared" si="8"/>
        <v>0</v>
      </c>
    </row>
    <row r="47" spans="1:37" x14ac:dyDescent="0.25">
      <c r="A47" s="2">
        <v>42</v>
      </c>
      <c r="B47" s="2">
        <f>Annual_Report!B43</f>
        <v>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4">
        <f t="shared" si="5"/>
        <v>0</v>
      </c>
      <c r="AI47" s="4">
        <f t="shared" si="6"/>
        <v>0</v>
      </c>
      <c r="AJ47" s="4">
        <f t="shared" si="7"/>
        <v>0</v>
      </c>
      <c r="AK47" s="4">
        <f t="shared" si="8"/>
        <v>0</v>
      </c>
    </row>
    <row r="48" spans="1:37" x14ac:dyDescent="0.25">
      <c r="A48" s="2">
        <v>43</v>
      </c>
      <c r="B48" s="2">
        <f>Annual_Report!B44</f>
        <v>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4">
        <f t="shared" si="5"/>
        <v>0</v>
      </c>
      <c r="AI48" s="4">
        <f t="shared" si="6"/>
        <v>0</v>
      </c>
      <c r="AJ48" s="4">
        <f t="shared" si="7"/>
        <v>0</v>
      </c>
      <c r="AK48" s="4">
        <f t="shared" si="8"/>
        <v>0</v>
      </c>
    </row>
    <row r="49" spans="1:37" x14ac:dyDescent="0.25">
      <c r="A49" s="2">
        <v>44</v>
      </c>
      <c r="B49" s="2">
        <f>Annual_Report!B45</f>
        <v>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4">
        <f t="shared" si="5"/>
        <v>0</v>
      </c>
      <c r="AI49" s="4">
        <f t="shared" si="6"/>
        <v>0</v>
      </c>
      <c r="AJ49" s="4">
        <f t="shared" si="7"/>
        <v>0</v>
      </c>
      <c r="AK49" s="4">
        <f t="shared" si="8"/>
        <v>0</v>
      </c>
    </row>
    <row r="50" spans="1:37" x14ac:dyDescent="0.25">
      <c r="A50" s="2">
        <v>45</v>
      </c>
      <c r="B50" s="2">
        <f>Annual_Report!B46</f>
        <v>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4">
        <f t="shared" si="5"/>
        <v>0</v>
      </c>
      <c r="AI50" s="4">
        <f t="shared" si="6"/>
        <v>0</v>
      </c>
      <c r="AJ50" s="4">
        <f t="shared" si="7"/>
        <v>0</v>
      </c>
      <c r="AK50" s="4">
        <f t="shared" si="8"/>
        <v>0</v>
      </c>
    </row>
    <row r="51" spans="1:37" x14ac:dyDescent="0.25">
      <c r="A51" s="2">
        <v>46</v>
      </c>
      <c r="B51" s="2">
        <f>Annual_Report!B47</f>
        <v>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4">
        <f t="shared" si="5"/>
        <v>0</v>
      </c>
      <c r="AI51" s="4">
        <f t="shared" si="6"/>
        <v>0</v>
      </c>
      <c r="AJ51" s="4">
        <f t="shared" si="7"/>
        <v>0</v>
      </c>
      <c r="AK51" s="4">
        <f t="shared" si="8"/>
        <v>0</v>
      </c>
    </row>
    <row r="52" spans="1:37" x14ac:dyDescent="0.25">
      <c r="A52" s="2">
        <v>47</v>
      </c>
      <c r="B52" s="2">
        <f>Annual_Report!B48</f>
        <v>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4">
        <f t="shared" si="5"/>
        <v>0</v>
      </c>
      <c r="AI52" s="4">
        <f t="shared" si="6"/>
        <v>0</v>
      </c>
      <c r="AJ52" s="4">
        <f t="shared" si="7"/>
        <v>0</v>
      </c>
      <c r="AK52" s="4">
        <f t="shared" si="8"/>
        <v>0</v>
      </c>
    </row>
    <row r="53" spans="1:37" x14ac:dyDescent="0.25">
      <c r="A53" s="2">
        <v>48</v>
      </c>
      <c r="B53" s="2">
        <f>Annual_Report!B49</f>
        <v>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4">
        <f t="shared" si="5"/>
        <v>0</v>
      </c>
      <c r="AI53" s="4">
        <f t="shared" si="6"/>
        <v>0</v>
      </c>
      <c r="AJ53" s="4">
        <f t="shared" si="7"/>
        <v>0</v>
      </c>
      <c r="AK53" s="4">
        <f t="shared" si="8"/>
        <v>0</v>
      </c>
    </row>
    <row r="54" spans="1:37" x14ac:dyDescent="0.25">
      <c r="A54" s="2">
        <v>49</v>
      </c>
      <c r="B54" s="2">
        <f>Annual_Report!B50</f>
        <v>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4">
        <f t="shared" si="5"/>
        <v>0</v>
      </c>
      <c r="AI54" s="4">
        <f t="shared" si="6"/>
        <v>0</v>
      </c>
      <c r="AJ54" s="4">
        <f t="shared" si="7"/>
        <v>0</v>
      </c>
      <c r="AK54" s="4">
        <f t="shared" si="8"/>
        <v>0</v>
      </c>
    </row>
    <row r="55" spans="1:37" x14ac:dyDescent="0.25">
      <c r="A55" s="2">
        <v>50</v>
      </c>
      <c r="B55" s="2">
        <f>Annual_Report!B51</f>
        <v>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4">
        <f t="shared" si="5"/>
        <v>0</v>
      </c>
      <c r="AI55" s="4">
        <f t="shared" si="6"/>
        <v>0</v>
      </c>
      <c r="AJ55" s="4">
        <f t="shared" si="7"/>
        <v>0</v>
      </c>
      <c r="AK55" s="4">
        <f t="shared" si="8"/>
        <v>0</v>
      </c>
    </row>
    <row r="56" spans="1:37" x14ac:dyDescent="0.25">
      <c r="A56" s="2">
        <v>51</v>
      </c>
      <c r="B56" s="2">
        <f>Annual_Report!B52</f>
        <v>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4">
        <f t="shared" si="5"/>
        <v>0</v>
      </c>
      <c r="AI56" s="4">
        <f t="shared" si="6"/>
        <v>0</v>
      </c>
      <c r="AJ56" s="4">
        <f t="shared" si="7"/>
        <v>0</v>
      </c>
      <c r="AK56" s="4">
        <f t="shared" si="8"/>
        <v>0</v>
      </c>
    </row>
    <row r="57" spans="1:37" x14ac:dyDescent="0.25">
      <c r="A57" s="2">
        <v>52</v>
      </c>
      <c r="B57" s="2">
        <f>Annual_Report!B53</f>
        <v>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4">
        <f t="shared" si="5"/>
        <v>0</v>
      </c>
      <c r="AI57" s="4">
        <f t="shared" si="6"/>
        <v>0</v>
      </c>
      <c r="AJ57" s="4">
        <f t="shared" si="7"/>
        <v>0</v>
      </c>
      <c r="AK57" s="4">
        <f t="shared" si="8"/>
        <v>0</v>
      </c>
    </row>
    <row r="58" spans="1:37" x14ac:dyDescent="0.25">
      <c r="A58" s="2">
        <v>53</v>
      </c>
      <c r="B58" s="2">
        <f>Annual_Report!B54</f>
        <v>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4">
        <f t="shared" si="5"/>
        <v>0</v>
      </c>
      <c r="AI58" s="4">
        <f t="shared" si="6"/>
        <v>0</v>
      </c>
      <c r="AJ58" s="4">
        <f t="shared" si="7"/>
        <v>0</v>
      </c>
      <c r="AK58" s="4">
        <f t="shared" si="8"/>
        <v>0</v>
      </c>
    </row>
    <row r="59" spans="1:37" x14ac:dyDescent="0.25">
      <c r="A59" s="2">
        <v>54</v>
      </c>
      <c r="B59" s="2">
        <f>Annual_Report!B55</f>
        <v>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4">
        <f t="shared" si="5"/>
        <v>0</v>
      </c>
      <c r="AI59" s="4">
        <f t="shared" si="6"/>
        <v>0</v>
      </c>
      <c r="AJ59" s="4">
        <f t="shared" si="7"/>
        <v>0</v>
      </c>
      <c r="AK59" s="4">
        <f t="shared" si="8"/>
        <v>0</v>
      </c>
    </row>
    <row r="60" spans="1:37" x14ac:dyDescent="0.25">
      <c r="A60" s="2">
        <v>55</v>
      </c>
      <c r="B60" s="2">
        <f>Annual_Report!B56</f>
        <v>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4">
        <f t="shared" si="5"/>
        <v>0</v>
      </c>
      <c r="AI60" s="4">
        <f t="shared" si="6"/>
        <v>0</v>
      </c>
      <c r="AJ60" s="4">
        <f t="shared" si="7"/>
        <v>0</v>
      </c>
      <c r="AK60" s="4">
        <f t="shared" si="8"/>
        <v>0</v>
      </c>
    </row>
    <row r="61" spans="1:37" x14ac:dyDescent="0.25">
      <c r="A61" s="2">
        <v>56</v>
      </c>
      <c r="B61" s="2">
        <f>Annual_Report!B57</f>
        <v>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4">
        <f t="shared" si="5"/>
        <v>0</v>
      </c>
      <c r="AI61" s="4">
        <f t="shared" si="6"/>
        <v>0</v>
      </c>
      <c r="AJ61" s="4">
        <f t="shared" si="7"/>
        <v>0</v>
      </c>
      <c r="AK61" s="4">
        <f t="shared" si="8"/>
        <v>0</v>
      </c>
    </row>
    <row r="62" spans="1:37" x14ac:dyDescent="0.25">
      <c r="A62" s="2">
        <v>57</v>
      </c>
      <c r="B62" s="2">
        <f>Annual_Report!B58</f>
        <v>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4">
        <f t="shared" si="5"/>
        <v>0</v>
      </c>
      <c r="AI62" s="4">
        <f t="shared" si="6"/>
        <v>0</v>
      </c>
      <c r="AJ62" s="4">
        <f t="shared" si="7"/>
        <v>0</v>
      </c>
      <c r="AK62" s="4">
        <f t="shared" si="8"/>
        <v>0</v>
      </c>
    </row>
    <row r="63" spans="1:37" x14ac:dyDescent="0.25">
      <c r="A63" s="2">
        <v>58</v>
      </c>
      <c r="B63" s="2">
        <f>Annual_Report!B59</f>
        <v>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4">
        <f t="shared" si="5"/>
        <v>0</v>
      </c>
      <c r="AI63" s="4">
        <f t="shared" si="6"/>
        <v>0</v>
      </c>
      <c r="AJ63" s="4">
        <f t="shared" si="7"/>
        <v>0</v>
      </c>
      <c r="AK63" s="4">
        <f t="shared" si="8"/>
        <v>0</v>
      </c>
    </row>
    <row r="64" spans="1:37" x14ac:dyDescent="0.25">
      <c r="A64" s="2">
        <v>59</v>
      </c>
      <c r="B64" s="2">
        <f>Annual_Report!B60</f>
        <v>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4">
        <f t="shared" si="5"/>
        <v>0</v>
      </c>
      <c r="AI64" s="4">
        <f t="shared" si="6"/>
        <v>0</v>
      </c>
      <c r="AJ64" s="4">
        <f t="shared" si="7"/>
        <v>0</v>
      </c>
      <c r="AK64" s="4">
        <f t="shared" si="8"/>
        <v>0</v>
      </c>
    </row>
    <row r="65" spans="1:37" x14ac:dyDescent="0.25">
      <c r="A65" s="2">
        <v>60</v>
      </c>
      <c r="B65" s="2">
        <f>Annual_Report!B61</f>
        <v>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4">
        <f t="shared" si="5"/>
        <v>0</v>
      </c>
      <c r="AI65" s="4">
        <f t="shared" si="6"/>
        <v>0</v>
      </c>
      <c r="AJ65" s="4">
        <f t="shared" si="7"/>
        <v>0</v>
      </c>
      <c r="AK65" s="4">
        <f t="shared" si="8"/>
        <v>0</v>
      </c>
    </row>
    <row r="66" spans="1:37" x14ac:dyDescent="0.25">
      <c r="A66" s="2">
        <v>61</v>
      </c>
      <c r="B66" s="2">
        <f>Annual_Report!B62</f>
        <v>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4">
        <f t="shared" si="5"/>
        <v>0</v>
      </c>
      <c r="AI66" s="4">
        <f t="shared" si="6"/>
        <v>0</v>
      </c>
      <c r="AJ66" s="4">
        <f t="shared" si="7"/>
        <v>0</v>
      </c>
      <c r="AK66" s="4">
        <f t="shared" si="8"/>
        <v>0</v>
      </c>
    </row>
    <row r="67" spans="1:37" x14ac:dyDescent="0.25">
      <c r="A67" s="2">
        <v>62</v>
      </c>
      <c r="B67" s="2">
        <f>Annual_Report!B63</f>
        <v>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4">
        <f t="shared" si="5"/>
        <v>0</v>
      </c>
      <c r="AI67" s="4">
        <f t="shared" si="6"/>
        <v>0</v>
      </c>
      <c r="AJ67" s="4">
        <f t="shared" si="7"/>
        <v>0</v>
      </c>
      <c r="AK67" s="4">
        <f t="shared" si="8"/>
        <v>0</v>
      </c>
    </row>
    <row r="68" spans="1:37" x14ac:dyDescent="0.25">
      <c r="A68" s="2">
        <v>63</v>
      </c>
      <c r="B68" s="2">
        <f>Annual_Report!B64</f>
        <v>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4">
        <f t="shared" si="5"/>
        <v>0</v>
      </c>
      <c r="AI68" s="4">
        <f t="shared" si="6"/>
        <v>0</v>
      </c>
      <c r="AJ68" s="4">
        <f t="shared" si="7"/>
        <v>0</v>
      </c>
      <c r="AK68" s="4">
        <f t="shared" si="8"/>
        <v>0</v>
      </c>
    </row>
    <row r="69" spans="1:37" x14ac:dyDescent="0.25">
      <c r="A69" s="2">
        <v>64</v>
      </c>
      <c r="B69" s="2">
        <f>Annual_Report!B65</f>
        <v>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4">
        <f t="shared" si="5"/>
        <v>0</v>
      </c>
      <c r="AI69" s="4">
        <f t="shared" si="6"/>
        <v>0</v>
      </c>
      <c r="AJ69" s="4">
        <f t="shared" si="7"/>
        <v>0</v>
      </c>
      <c r="AK69" s="4">
        <f t="shared" si="8"/>
        <v>0</v>
      </c>
    </row>
    <row r="70" spans="1:37" x14ac:dyDescent="0.25">
      <c r="A70" s="2">
        <v>65</v>
      </c>
      <c r="B70" s="2">
        <f>Annual_Report!B66</f>
        <v>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4">
        <f t="shared" ref="AH70:AH105" si="9">COUNTIF($C70:$AG70, "ح")</f>
        <v>0</v>
      </c>
      <c r="AI70" s="4">
        <f t="shared" ref="AI70:AI105" si="10">COUNTIF($C70:$AG70, "غ")</f>
        <v>0</v>
      </c>
      <c r="AJ70" s="4">
        <f t="shared" ref="AJ70:AJ105" si="11">COUNTIF($C70:$AG70, "ج")</f>
        <v>0</v>
      </c>
      <c r="AK70" s="4">
        <f t="shared" ref="AK70:AK105" si="12">COUNTIF($C70:$AG70, "م")</f>
        <v>0</v>
      </c>
    </row>
    <row r="71" spans="1:37" x14ac:dyDescent="0.25">
      <c r="A71" s="2">
        <v>66</v>
      </c>
      <c r="B71" s="2">
        <f>Annual_Report!B67</f>
        <v>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4">
        <f t="shared" si="9"/>
        <v>0</v>
      </c>
      <c r="AI71" s="4">
        <f t="shared" si="10"/>
        <v>0</v>
      </c>
      <c r="AJ71" s="4">
        <f t="shared" si="11"/>
        <v>0</v>
      </c>
      <c r="AK71" s="4">
        <f t="shared" si="12"/>
        <v>0</v>
      </c>
    </row>
    <row r="72" spans="1:37" x14ac:dyDescent="0.25">
      <c r="A72" s="2">
        <v>67</v>
      </c>
      <c r="B72" s="2">
        <f>Annual_Report!B68</f>
        <v>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4">
        <f t="shared" si="9"/>
        <v>0</v>
      </c>
      <c r="AI72" s="4">
        <f t="shared" si="10"/>
        <v>0</v>
      </c>
      <c r="AJ72" s="4">
        <f t="shared" si="11"/>
        <v>0</v>
      </c>
      <c r="AK72" s="4">
        <f t="shared" si="12"/>
        <v>0</v>
      </c>
    </row>
    <row r="73" spans="1:37" x14ac:dyDescent="0.25">
      <c r="A73" s="2">
        <v>68</v>
      </c>
      <c r="B73" s="2">
        <f>Annual_Report!B69</f>
        <v>0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4">
        <f t="shared" si="9"/>
        <v>0</v>
      </c>
      <c r="AI73" s="4">
        <f t="shared" si="10"/>
        <v>0</v>
      </c>
      <c r="AJ73" s="4">
        <f t="shared" si="11"/>
        <v>0</v>
      </c>
      <c r="AK73" s="4">
        <f t="shared" si="12"/>
        <v>0</v>
      </c>
    </row>
    <row r="74" spans="1:37" x14ac:dyDescent="0.25">
      <c r="A74" s="2">
        <v>69</v>
      </c>
      <c r="B74" s="2">
        <f>Annual_Report!B70</f>
        <v>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4">
        <f t="shared" si="9"/>
        <v>0</v>
      </c>
      <c r="AI74" s="4">
        <f t="shared" si="10"/>
        <v>0</v>
      </c>
      <c r="AJ74" s="4">
        <f t="shared" si="11"/>
        <v>0</v>
      </c>
      <c r="AK74" s="4">
        <f t="shared" si="12"/>
        <v>0</v>
      </c>
    </row>
    <row r="75" spans="1:37" x14ac:dyDescent="0.25">
      <c r="A75" s="2">
        <v>70</v>
      </c>
      <c r="B75" s="2">
        <f>Annual_Report!B71</f>
        <v>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4">
        <f t="shared" si="9"/>
        <v>0</v>
      </c>
      <c r="AI75" s="4">
        <f t="shared" si="10"/>
        <v>0</v>
      </c>
      <c r="AJ75" s="4">
        <f t="shared" si="11"/>
        <v>0</v>
      </c>
      <c r="AK75" s="4">
        <f t="shared" si="12"/>
        <v>0</v>
      </c>
    </row>
    <row r="76" spans="1:37" x14ac:dyDescent="0.25">
      <c r="A76" s="2">
        <v>71</v>
      </c>
      <c r="B76" s="2">
        <f>Annual_Report!B72</f>
        <v>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4">
        <f t="shared" si="9"/>
        <v>0</v>
      </c>
      <c r="AI76" s="4">
        <f t="shared" si="10"/>
        <v>0</v>
      </c>
      <c r="AJ76" s="4">
        <f t="shared" si="11"/>
        <v>0</v>
      </c>
      <c r="AK76" s="4">
        <f t="shared" si="12"/>
        <v>0</v>
      </c>
    </row>
    <row r="77" spans="1:37" x14ac:dyDescent="0.25">
      <c r="A77" s="2">
        <v>72</v>
      </c>
      <c r="B77" s="2">
        <f>Annual_Report!B73</f>
        <v>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4">
        <f t="shared" si="9"/>
        <v>0</v>
      </c>
      <c r="AI77" s="4">
        <f t="shared" si="10"/>
        <v>0</v>
      </c>
      <c r="AJ77" s="4">
        <f t="shared" si="11"/>
        <v>0</v>
      </c>
      <c r="AK77" s="4">
        <f t="shared" si="12"/>
        <v>0</v>
      </c>
    </row>
    <row r="78" spans="1:37" x14ac:dyDescent="0.25">
      <c r="A78" s="2">
        <v>73</v>
      </c>
      <c r="B78" s="2">
        <f>Annual_Report!B74</f>
        <v>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4">
        <f t="shared" si="9"/>
        <v>0</v>
      </c>
      <c r="AI78" s="4">
        <f t="shared" si="10"/>
        <v>0</v>
      </c>
      <c r="AJ78" s="4">
        <f t="shared" si="11"/>
        <v>0</v>
      </c>
      <c r="AK78" s="4">
        <f t="shared" si="12"/>
        <v>0</v>
      </c>
    </row>
    <row r="79" spans="1:37" x14ac:dyDescent="0.25">
      <c r="A79" s="2">
        <v>74</v>
      </c>
      <c r="B79" s="2">
        <f>Annual_Report!B75</f>
        <v>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4">
        <f t="shared" si="9"/>
        <v>0</v>
      </c>
      <c r="AI79" s="4">
        <f t="shared" si="10"/>
        <v>0</v>
      </c>
      <c r="AJ79" s="4">
        <f t="shared" si="11"/>
        <v>0</v>
      </c>
      <c r="AK79" s="4">
        <f t="shared" si="12"/>
        <v>0</v>
      </c>
    </row>
    <row r="80" spans="1:37" x14ac:dyDescent="0.25">
      <c r="A80" s="2">
        <v>75</v>
      </c>
      <c r="B80" s="2">
        <f>Annual_Report!B76</f>
        <v>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4">
        <f t="shared" si="9"/>
        <v>0</v>
      </c>
      <c r="AI80" s="4">
        <f t="shared" si="10"/>
        <v>0</v>
      </c>
      <c r="AJ80" s="4">
        <f t="shared" si="11"/>
        <v>0</v>
      </c>
      <c r="AK80" s="4">
        <f t="shared" si="12"/>
        <v>0</v>
      </c>
    </row>
    <row r="81" spans="1:37" x14ac:dyDescent="0.25">
      <c r="A81" s="2">
        <v>76</v>
      </c>
      <c r="B81" s="2">
        <f>Annual_Report!B77</f>
        <v>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4">
        <f t="shared" si="9"/>
        <v>0</v>
      </c>
      <c r="AI81" s="4">
        <f t="shared" si="10"/>
        <v>0</v>
      </c>
      <c r="AJ81" s="4">
        <f t="shared" si="11"/>
        <v>0</v>
      </c>
      <c r="AK81" s="4">
        <f t="shared" si="12"/>
        <v>0</v>
      </c>
    </row>
    <row r="82" spans="1:37" x14ac:dyDescent="0.25">
      <c r="A82" s="2">
        <v>77</v>
      </c>
      <c r="B82" s="2">
        <f>Annual_Report!B78</f>
        <v>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4">
        <f t="shared" si="9"/>
        <v>0</v>
      </c>
      <c r="AI82" s="4">
        <f t="shared" si="10"/>
        <v>0</v>
      </c>
      <c r="AJ82" s="4">
        <f t="shared" si="11"/>
        <v>0</v>
      </c>
      <c r="AK82" s="4">
        <f t="shared" si="12"/>
        <v>0</v>
      </c>
    </row>
    <row r="83" spans="1:37" x14ac:dyDescent="0.25">
      <c r="A83" s="2">
        <v>78</v>
      </c>
      <c r="B83" s="2">
        <f>Annual_Report!B79</f>
        <v>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4">
        <f t="shared" si="9"/>
        <v>0</v>
      </c>
      <c r="AI83" s="4">
        <f t="shared" si="10"/>
        <v>0</v>
      </c>
      <c r="AJ83" s="4">
        <f t="shared" si="11"/>
        <v>0</v>
      </c>
      <c r="AK83" s="4">
        <f t="shared" si="12"/>
        <v>0</v>
      </c>
    </row>
    <row r="84" spans="1:37" x14ac:dyDescent="0.25">
      <c r="A84" s="2">
        <v>79</v>
      </c>
      <c r="B84" s="2">
        <f>Annual_Report!B80</f>
        <v>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4">
        <f t="shared" si="9"/>
        <v>0</v>
      </c>
      <c r="AI84" s="4">
        <f t="shared" si="10"/>
        <v>0</v>
      </c>
      <c r="AJ84" s="4">
        <f t="shared" si="11"/>
        <v>0</v>
      </c>
      <c r="AK84" s="4">
        <f t="shared" si="12"/>
        <v>0</v>
      </c>
    </row>
    <row r="85" spans="1:37" x14ac:dyDescent="0.25">
      <c r="A85" s="2">
        <v>80</v>
      </c>
      <c r="B85" s="2">
        <f>Annual_Report!B81</f>
        <v>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4">
        <f t="shared" si="9"/>
        <v>0</v>
      </c>
      <c r="AI85" s="4">
        <f t="shared" si="10"/>
        <v>0</v>
      </c>
      <c r="AJ85" s="4">
        <f t="shared" si="11"/>
        <v>0</v>
      </c>
      <c r="AK85" s="4">
        <f t="shared" si="12"/>
        <v>0</v>
      </c>
    </row>
    <row r="86" spans="1:37" x14ac:dyDescent="0.25">
      <c r="A86" s="2">
        <v>81</v>
      </c>
      <c r="B86" s="2">
        <f>Annual_Report!B82</f>
        <v>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4">
        <f t="shared" si="9"/>
        <v>0</v>
      </c>
      <c r="AI86" s="4">
        <f t="shared" si="10"/>
        <v>0</v>
      </c>
      <c r="AJ86" s="4">
        <f t="shared" si="11"/>
        <v>0</v>
      </c>
      <c r="AK86" s="4">
        <f t="shared" si="12"/>
        <v>0</v>
      </c>
    </row>
    <row r="87" spans="1:37" x14ac:dyDescent="0.25">
      <c r="A87" s="2">
        <v>82</v>
      </c>
      <c r="B87" s="2">
        <f>Annual_Report!B83</f>
        <v>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4">
        <f t="shared" si="9"/>
        <v>0</v>
      </c>
      <c r="AI87" s="4">
        <f t="shared" si="10"/>
        <v>0</v>
      </c>
      <c r="AJ87" s="4">
        <f t="shared" si="11"/>
        <v>0</v>
      </c>
      <c r="AK87" s="4">
        <f t="shared" si="12"/>
        <v>0</v>
      </c>
    </row>
    <row r="88" spans="1:37" x14ac:dyDescent="0.25">
      <c r="A88" s="2">
        <v>83</v>
      </c>
      <c r="B88" s="2">
        <f>Annual_Report!B84</f>
        <v>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4">
        <f t="shared" si="9"/>
        <v>0</v>
      </c>
      <c r="AI88" s="4">
        <f t="shared" si="10"/>
        <v>0</v>
      </c>
      <c r="AJ88" s="4">
        <f t="shared" si="11"/>
        <v>0</v>
      </c>
      <c r="AK88" s="4">
        <f t="shared" si="12"/>
        <v>0</v>
      </c>
    </row>
    <row r="89" spans="1:37" x14ac:dyDescent="0.25">
      <c r="A89" s="2">
        <v>84</v>
      </c>
      <c r="B89" s="2">
        <f>Annual_Report!B85</f>
        <v>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4">
        <f t="shared" si="9"/>
        <v>0</v>
      </c>
      <c r="AI89" s="4">
        <f t="shared" si="10"/>
        <v>0</v>
      </c>
      <c r="AJ89" s="4">
        <f t="shared" si="11"/>
        <v>0</v>
      </c>
      <c r="AK89" s="4">
        <f t="shared" si="12"/>
        <v>0</v>
      </c>
    </row>
    <row r="90" spans="1:37" x14ac:dyDescent="0.25">
      <c r="A90" s="2">
        <v>85</v>
      </c>
      <c r="B90" s="2">
        <f>Annual_Report!B86</f>
        <v>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4">
        <f t="shared" si="9"/>
        <v>0</v>
      </c>
      <c r="AI90" s="4">
        <f t="shared" si="10"/>
        <v>0</v>
      </c>
      <c r="AJ90" s="4">
        <f t="shared" si="11"/>
        <v>0</v>
      </c>
      <c r="AK90" s="4">
        <f t="shared" si="12"/>
        <v>0</v>
      </c>
    </row>
    <row r="91" spans="1:37" x14ac:dyDescent="0.25">
      <c r="A91" s="2">
        <v>86</v>
      </c>
      <c r="B91" s="2">
        <f>Annual_Report!B87</f>
        <v>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4">
        <f t="shared" si="9"/>
        <v>0</v>
      </c>
      <c r="AI91" s="4">
        <f t="shared" si="10"/>
        <v>0</v>
      </c>
      <c r="AJ91" s="4">
        <f t="shared" si="11"/>
        <v>0</v>
      </c>
      <c r="AK91" s="4">
        <f t="shared" si="12"/>
        <v>0</v>
      </c>
    </row>
    <row r="92" spans="1:37" x14ac:dyDescent="0.25">
      <c r="A92" s="2">
        <v>87</v>
      </c>
      <c r="B92" s="2">
        <f>Annual_Report!B88</f>
        <v>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4">
        <f t="shared" si="9"/>
        <v>0</v>
      </c>
      <c r="AI92" s="4">
        <f t="shared" si="10"/>
        <v>0</v>
      </c>
      <c r="AJ92" s="4">
        <f t="shared" si="11"/>
        <v>0</v>
      </c>
      <c r="AK92" s="4">
        <f t="shared" si="12"/>
        <v>0</v>
      </c>
    </row>
    <row r="93" spans="1:37" x14ac:dyDescent="0.25">
      <c r="A93" s="2">
        <v>88</v>
      </c>
      <c r="B93" s="2">
        <f>Annual_Report!B89</f>
        <v>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4">
        <f t="shared" si="9"/>
        <v>0</v>
      </c>
      <c r="AI93" s="4">
        <f t="shared" si="10"/>
        <v>0</v>
      </c>
      <c r="AJ93" s="4">
        <f t="shared" si="11"/>
        <v>0</v>
      </c>
      <c r="AK93" s="4">
        <f t="shared" si="12"/>
        <v>0</v>
      </c>
    </row>
    <row r="94" spans="1:37" x14ac:dyDescent="0.25">
      <c r="A94" s="2">
        <v>89</v>
      </c>
      <c r="B94" s="2">
        <f>Annual_Report!B90</f>
        <v>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4">
        <f t="shared" si="9"/>
        <v>0</v>
      </c>
      <c r="AI94" s="4">
        <f t="shared" si="10"/>
        <v>0</v>
      </c>
      <c r="AJ94" s="4">
        <f t="shared" si="11"/>
        <v>0</v>
      </c>
      <c r="AK94" s="4">
        <f t="shared" si="12"/>
        <v>0</v>
      </c>
    </row>
    <row r="95" spans="1:37" x14ac:dyDescent="0.25">
      <c r="A95" s="2">
        <v>90</v>
      </c>
      <c r="B95" s="2">
        <f>Annual_Report!B91</f>
        <v>0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4">
        <f t="shared" si="9"/>
        <v>0</v>
      </c>
      <c r="AI95" s="4">
        <f t="shared" si="10"/>
        <v>0</v>
      </c>
      <c r="AJ95" s="4">
        <f t="shared" si="11"/>
        <v>0</v>
      </c>
      <c r="AK95" s="4">
        <f t="shared" si="12"/>
        <v>0</v>
      </c>
    </row>
    <row r="96" spans="1:37" x14ac:dyDescent="0.25">
      <c r="A96" s="2">
        <v>91</v>
      </c>
      <c r="B96" s="2">
        <f>Annual_Report!B92</f>
        <v>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4">
        <f t="shared" si="9"/>
        <v>0</v>
      </c>
      <c r="AI96" s="4">
        <f t="shared" si="10"/>
        <v>0</v>
      </c>
      <c r="AJ96" s="4">
        <f t="shared" si="11"/>
        <v>0</v>
      </c>
      <c r="AK96" s="4">
        <f t="shared" si="12"/>
        <v>0</v>
      </c>
    </row>
    <row r="97" spans="1:37" x14ac:dyDescent="0.25">
      <c r="A97" s="2">
        <v>92</v>
      </c>
      <c r="B97" s="2">
        <f>Annual_Report!B93</f>
        <v>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4">
        <f t="shared" si="9"/>
        <v>0</v>
      </c>
      <c r="AI97" s="4">
        <f t="shared" si="10"/>
        <v>0</v>
      </c>
      <c r="AJ97" s="4">
        <f t="shared" si="11"/>
        <v>0</v>
      </c>
      <c r="AK97" s="4">
        <f t="shared" si="12"/>
        <v>0</v>
      </c>
    </row>
    <row r="98" spans="1:37" x14ac:dyDescent="0.25">
      <c r="A98" s="2">
        <v>93</v>
      </c>
      <c r="B98" s="2">
        <f>Annual_Report!B94</f>
        <v>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4">
        <f t="shared" si="9"/>
        <v>0</v>
      </c>
      <c r="AI98" s="4">
        <f t="shared" si="10"/>
        <v>0</v>
      </c>
      <c r="AJ98" s="4">
        <f t="shared" si="11"/>
        <v>0</v>
      </c>
      <c r="AK98" s="4">
        <f t="shared" si="12"/>
        <v>0</v>
      </c>
    </row>
    <row r="99" spans="1:37" x14ac:dyDescent="0.25">
      <c r="A99" s="2">
        <v>94</v>
      </c>
      <c r="B99" s="2">
        <f>Annual_Report!B95</f>
        <v>0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4">
        <f t="shared" si="9"/>
        <v>0</v>
      </c>
      <c r="AI99" s="4">
        <f t="shared" si="10"/>
        <v>0</v>
      </c>
      <c r="AJ99" s="4">
        <f t="shared" si="11"/>
        <v>0</v>
      </c>
      <c r="AK99" s="4">
        <f t="shared" si="12"/>
        <v>0</v>
      </c>
    </row>
    <row r="100" spans="1:37" x14ac:dyDescent="0.25">
      <c r="A100" s="2">
        <v>95</v>
      </c>
      <c r="B100" s="2">
        <f>Annual_Report!B96</f>
        <v>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4">
        <f t="shared" si="9"/>
        <v>0</v>
      </c>
      <c r="AI100" s="4">
        <f t="shared" si="10"/>
        <v>0</v>
      </c>
      <c r="AJ100" s="4">
        <f t="shared" si="11"/>
        <v>0</v>
      </c>
      <c r="AK100" s="4">
        <f t="shared" si="12"/>
        <v>0</v>
      </c>
    </row>
    <row r="101" spans="1:37" x14ac:dyDescent="0.25">
      <c r="A101" s="2">
        <v>96</v>
      </c>
      <c r="B101" s="2">
        <f>Annual_Report!B97</f>
        <v>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4">
        <f t="shared" si="9"/>
        <v>0</v>
      </c>
      <c r="AI101" s="4">
        <f t="shared" si="10"/>
        <v>0</v>
      </c>
      <c r="AJ101" s="4">
        <f t="shared" si="11"/>
        <v>0</v>
      </c>
      <c r="AK101" s="4">
        <f t="shared" si="12"/>
        <v>0</v>
      </c>
    </row>
    <row r="102" spans="1:37" x14ac:dyDescent="0.25">
      <c r="A102" s="2">
        <v>97</v>
      </c>
      <c r="B102" s="2">
        <f>Annual_Report!B98</f>
        <v>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4">
        <f t="shared" si="9"/>
        <v>0</v>
      </c>
      <c r="AI102" s="4">
        <f t="shared" si="10"/>
        <v>0</v>
      </c>
      <c r="AJ102" s="4">
        <f t="shared" si="11"/>
        <v>0</v>
      </c>
      <c r="AK102" s="4">
        <f t="shared" si="12"/>
        <v>0</v>
      </c>
    </row>
    <row r="103" spans="1:37" x14ac:dyDescent="0.25">
      <c r="A103" s="2">
        <v>98</v>
      </c>
      <c r="B103" s="2">
        <f>Annual_Report!B99</f>
        <v>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4">
        <f t="shared" si="9"/>
        <v>0</v>
      </c>
      <c r="AI103" s="4">
        <f t="shared" si="10"/>
        <v>0</v>
      </c>
      <c r="AJ103" s="4">
        <f t="shared" si="11"/>
        <v>0</v>
      </c>
      <c r="AK103" s="4">
        <f t="shared" si="12"/>
        <v>0</v>
      </c>
    </row>
    <row r="104" spans="1:37" x14ac:dyDescent="0.25">
      <c r="A104" s="2">
        <v>99</v>
      </c>
      <c r="B104" s="2">
        <f>Annual_Report!B100</f>
        <v>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4">
        <f t="shared" si="9"/>
        <v>0</v>
      </c>
      <c r="AI104" s="4">
        <f t="shared" si="10"/>
        <v>0</v>
      </c>
      <c r="AJ104" s="4">
        <f t="shared" si="11"/>
        <v>0</v>
      </c>
      <c r="AK104" s="4">
        <f t="shared" si="12"/>
        <v>0</v>
      </c>
    </row>
    <row r="105" spans="1:37" x14ac:dyDescent="0.25">
      <c r="A105" s="2">
        <v>100</v>
      </c>
      <c r="B105" s="2">
        <f>Annual_Report!B101</f>
        <v>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4">
        <f t="shared" si="9"/>
        <v>0</v>
      </c>
      <c r="AI105" s="4">
        <f t="shared" si="10"/>
        <v>0</v>
      </c>
      <c r="AJ105" s="4">
        <f t="shared" si="11"/>
        <v>0</v>
      </c>
      <c r="AK105" s="4">
        <f t="shared" si="12"/>
        <v>0</v>
      </c>
    </row>
  </sheetData>
  <conditionalFormatting sqref="C6:AG105">
    <cfRule type="cellIs" dxfId="23" priority="1" stopIfTrue="1" operator="equal">
      <formula>"ح"</formula>
    </cfRule>
    <cfRule type="cellIs" dxfId="22" priority="2" stopIfTrue="1" operator="equal">
      <formula>"غ"</formula>
    </cfRule>
    <cfRule type="cellIs" dxfId="21" priority="3" stopIfTrue="1" operator="equal">
      <formula>"ج"</formula>
    </cfRule>
    <cfRule type="cellIs" dxfId="20" priority="4" stopIfTrue="1" operator="equal">
      <formula>"م"</formula>
    </cfRule>
    <cfRule type="cellIs" dxfId="19" priority="5" stopIfTrue="1" operator="equal">
      <formula>"ج"</formula>
    </cfRule>
    <cfRule type="cellIs" dxfId="18" priority="6" stopIfTrue="1" operator="equal">
      <formula>"م"</formula>
    </cfRule>
  </conditionalFormatting>
  <dataValidations count="1">
    <dataValidation type="list" allowBlank="1" showErrorMessage="1" errorTitle="خطأ في الإدخال" error="يرجى استخدام الحروف الصحيحة: ح - غ - ج - م" sqref="C6:AG105" xr:uid="{9D56BDC3-E541-46A8-85DF-44521D958DF5}">
      <formula1>"ح,غ,ج,م"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49106-EC29-45C7-92E5-D13CF9C5FC18}">
  <sheetPr codeName="Sheet90"/>
  <dimension ref="A1:AK105"/>
  <sheetViews>
    <sheetView rightToLeft="1" workbookViewId="0"/>
  </sheetViews>
  <sheetFormatPr defaultRowHeight="15" x14ac:dyDescent="0.25"/>
  <cols>
    <col min="1" max="1" width="4.7109375" customWidth="1"/>
    <col min="2" max="2" width="25.7109375" customWidth="1"/>
    <col min="3" max="33" width="4.7109375" customWidth="1"/>
    <col min="34" max="34" width="5.85546875" bestFit="1" customWidth="1"/>
    <col min="35" max="35" width="4.7109375" bestFit="1" customWidth="1"/>
    <col min="36" max="36" width="4.5703125" bestFit="1" customWidth="1"/>
    <col min="37" max="37" width="6" bestFit="1" customWidth="1"/>
  </cols>
  <sheetData>
    <row r="1" spans="1:37" x14ac:dyDescent="0.25">
      <c r="A1" s="6"/>
      <c r="B1" s="6"/>
      <c r="C1" s="5" t="s">
        <v>9</v>
      </c>
      <c r="D1" s="5" t="s">
        <v>0</v>
      </c>
      <c r="E1" s="5" t="s">
        <v>1</v>
      </c>
      <c r="F1" s="5" t="s">
        <v>10</v>
      </c>
      <c r="G1" s="5" t="s">
        <v>11</v>
      </c>
    </row>
    <row r="2" spans="1:37" x14ac:dyDescent="0.25">
      <c r="A2" s="6"/>
      <c r="B2" s="6"/>
      <c r="C2" s="5" t="s">
        <v>12</v>
      </c>
      <c r="D2" s="5" t="s">
        <v>6</v>
      </c>
      <c r="E2" s="5" t="s">
        <v>7</v>
      </c>
      <c r="F2" s="5" t="s">
        <v>8</v>
      </c>
      <c r="G2" s="5" t="s">
        <v>2</v>
      </c>
    </row>
    <row r="4" spans="1:37" ht="65.099999999999994" customHeight="1" x14ac:dyDescent="0.25">
      <c r="A4" s="2" t="s">
        <v>2</v>
      </c>
      <c r="B4" s="2" t="s">
        <v>3</v>
      </c>
      <c r="C4" s="1" t="str">
        <f>CHOOSE(WEEKDAY(C5), "الأحد","الاثنين","الثلاثاء","الأربعاء","الخميس","الجمعة","السبت")</f>
        <v>الخميس</v>
      </c>
      <c r="D4" s="1" t="str">
        <f t="shared" ref="D4:AG4" si="0">CHOOSE(WEEKDAY(D5), "الأحد","الاثنين","الثلاثاء","الأربعاء","الخميس","الجمعة","السبت")</f>
        <v>الجمعة</v>
      </c>
      <c r="E4" s="1" t="str">
        <f t="shared" si="0"/>
        <v>السبت</v>
      </c>
      <c r="F4" s="1" t="str">
        <f t="shared" si="0"/>
        <v>الأحد</v>
      </c>
      <c r="G4" s="1" t="str">
        <f t="shared" si="0"/>
        <v>الاثنين</v>
      </c>
      <c r="H4" s="1" t="str">
        <f t="shared" si="0"/>
        <v>الثلاثاء</v>
      </c>
      <c r="I4" s="1" t="str">
        <f t="shared" si="0"/>
        <v>الأربعاء</v>
      </c>
      <c r="J4" s="1" t="str">
        <f t="shared" si="0"/>
        <v>الخميس</v>
      </c>
      <c r="K4" s="1" t="str">
        <f t="shared" si="0"/>
        <v>الجمعة</v>
      </c>
      <c r="L4" s="1" t="str">
        <f t="shared" si="0"/>
        <v>السبت</v>
      </c>
      <c r="M4" s="1" t="str">
        <f t="shared" si="0"/>
        <v>الأحد</v>
      </c>
      <c r="N4" s="1" t="str">
        <f t="shared" si="0"/>
        <v>الاثنين</v>
      </c>
      <c r="O4" s="1" t="str">
        <f t="shared" si="0"/>
        <v>الثلاثاء</v>
      </c>
      <c r="P4" s="1" t="str">
        <f t="shared" si="0"/>
        <v>الأربعاء</v>
      </c>
      <c r="Q4" s="1" t="str">
        <f t="shared" si="0"/>
        <v>الخميس</v>
      </c>
      <c r="R4" s="1" t="str">
        <f t="shared" si="0"/>
        <v>الجمعة</v>
      </c>
      <c r="S4" s="1" t="str">
        <f t="shared" si="0"/>
        <v>السبت</v>
      </c>
      <c r="T4" s="1" t="str">
        <f t="shared" si="0"/>
        <v>الأحد</v>
      </c>
      <c r="U4" s="1" t="str">
        <f t="shared" si="0"/>
        <v>الاثنين</v>
      </c>
      <c r="V4" s="1" t="str">
        <f t="shared" si="0"/>
        <v>الثلاثاء</v>
      </c>
      <c r="W4" s="1" t="str">
        <f t="shared" si="0"/>
        <v>الأربعاء</v>
      </c>
      <c r="X4" s="1" t="str">
        <f t="shared" si="0"/>
        <v>الخميس</v>
      </c>
      <c r="Y4" s="1" t="str">
        <f t="shared" si="0"/>
        <v>الجمعة</v>
      </c>
      <c r="Z4" s="1" t="str">
        <f t="shared" si="0"/>
        <v>السبت</v>
      </c>
      <c r="AA4" s="1" t="str">
        <f t="shared" si="0"/>
        <v>الأحد</v>
      </c>
      <c r="AB4" s="1" t="str">
        <f t="shared" si="0"/>
        <v>الاثنين</v>
      </c>
      <c r="AC4" s="1" t="str">
        <f t="shared" si="0"/>
        <v>الثلاثاء</v>
      </c>
      <c r="AD4" s="1" t="str">
        <f t="shared" si="0"/>
        <v>الأربعاء</v>
      </c>
      <c r="AE4" s="1" t="str">
        <f t="shared" si="0"/>
        <v>الخميس</v>
      </c>
      <c r="AF4" s="1" t="str">
        <f t="shared" si="0"/>
        <v>الجمعة</v>
      </c>
      <c r="AG4" s="1" t="str">
        <f t="shared" si="0"/>
        <v>السبت</v>
      </c>
      <c r="AH4" s="9" t="s">
        <v>0</v>
      </c>
      <c r="AI4" s="9" t="s">
        <v>1</v>
      </c>
      <c r="AJ4" s="9" t="s">
        <v>10</v>
      </c>
      <c r="AK4" s="9" t="s">
        <v>11</v>
      </c>
    </row>
    <row r="5" spans="1:37" x14ac:dyDescent="0.25">
      <c r="A5" s="2"/>
      <c r="B5" s="2"/>
      <c r="C5" s="3" cm="1">
        <f t="array" ref="C5:AG5">_xlfn.SEQUENCE(1, DAY(EOMONTH(DATE(2026,10,1),0)), DATE(2026,10,1))</f>
        <v>46296</v>
      </c>
      <c r="D5" s="3">
        <v>46297</v>
      </c>
      <c r="E5" s="3">
        <v>46298</v>
      </c>
      <c r="F5" s="3">
        <v>46299</v>
      </c>
      <c r="G5" s="3">
        <v>46300</v>
      </c>
      <c r="H5" s="3">
        <v>46301</v>
      </c>
      <c r="I5" s="3">
        <v>46302</v>
      </c>
      <c r="J5" s="3">
        <v>46303</v>
      </c>
      <c r="K5" s="3">
        <v>46304</v>
      </c>
      <c r="L5" s="3">
        <v>46305</v>
      </c>
      <c r="M5" s="3">
        <v>46306</v>
      </c>
      <c r="N5" s="3">
        <v>46307</v>
      </c>
      <c r="O5" s="3">
        <v>46308</v>
      </c>
      <c r="P5" s="3">
        <v>46309</v>
      </c>
      <c r="Q5" s="3">
        <v>46310</v>
      </c>
      <c r="R5" s="3">
        <v>46311</v>
      </c>
      <c r="S5" s="3">
        <v>46312</v>
      </c>
      <c r="T5" s="3">
        <v>46313</v>
      </c>
      <c r="U5" s="3">
        <v>46314</v>
      </c>
      <c r="V5" s="3">
        <v>46315</v>
      </c>
      <c r="W5" s="3">
        <v>46316</v>
      </c>
      <c r="X5" s="3">
        <v>46317</v>
      </c>
      <c r="Y5" s="3">
        <v>46318</v>
      </c>
      <c r="Z5" s="3">
        <v>46319</v>
      </c>
      <c r="AA5" s="3">
        <v>46320</v>
      </c>
      <c r="AB5" s="3">
        <v>46321</v>
      </c>
      <c r="AC5" s="3">
        <v>46322</v>
      </c>
      <c r="AD5" s="3">
        <v>46323</v>
      </c>
      <c r="AE5" s="3">
        <v>46324</v>
      </c>
      <c r="AF5" s="3">
        <v>46325</v>
      </c>
      <c r="AG5" s="3">
        <v>46326</v>
      </c>
      <c r="AH5" s="4"/>
      <c r="AI5" s="4"/>
      <c r="AJ5" s="4"/>
      <c r="AK5" s="4"/>
    </row>
    <row r="6" spans="1:37" x14ac:dyDescent="0.25">
      <c r="A6" s="2">
        <v>1</v>
      </c>
      <c r="B6" s="2">
        <f>Annual_Report!B2</f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4">
        <f t="shared" ref="AH6:AH37" si="1">COUNTIF($C6:$AG6, "ح")</f>
        <v>0</v>
      </c>
      <c r="AI6" s="4">
        <f t="shared" ref="AI6:AI37" si="2">COUNTIF($C6:$AG6, "غ")</f>
        <v>0</v>
      </c>
      <c r="AJ6" s="4">
        <f t="shared" ref="AJ6:AJ37" si="3">COUNTIF($C6:$AG6, "ج")</f>
        <v>0</v>
      </c>
      <c r="AK6" s="4">
        <f t="shared" ref="AK6:AK37" si="4">COUNTIF($C6:$AG6, "م")</f>
        <v>0</v>
      </c>
    </row>
    <row r="7" spans="1:37" x14ac:dyDescent="0.25">
      <c r="A7" s="2">
        <v>2</v>
      </c>
      <c r="B7" s="2">
        <f>Annual_Report!B3</f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4">
        <f t="shared" si="1"/>
        <v>0</v>
      </c>
      <c r="AI7" s="4">
        <f t="shared" si="2"/>
        <v>0</v>
      </c>
      <c r="AJ7" s="4">
        <f t="shared" si="3"/>
        <v>0</v>
      </c>
      <c r="AK7" s="4">
        <f t="shared" si="4"/>
        <v>0</v>
      </c>
    </row>
    <row r="8" spans="1:37" x14ac:dyDescent="0.25">
      <c r="A8" s="2">
        <v>3</v>
      </c>
      <c r="B8" s="2">
        <f>Annual_Report!B4</f>
        <v>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4">
        <f t="shared" si="1"/>
        <v>0</v>
      </c>
      <c r="AI8" s="4">
        <f t="shared" si="2"/>
        <v>0</v>
      </c>
      <c r="AJ8" s="4">
        <f t="shared" si="3"/>
        <v>0</v>
      </c>
      <c r="AK8" s="4">
        <f t="shared" si="4"/>
        <v>0</v>
      </c>
    </row>
    <row r="9" spans="1:37" x14ac:dyDescent="0.25">
      <c r="A9" s="2">
        <v>4</v>
      </c>
      <c r="B9" s="2">
        <f>Annual_Report!B5</f>
        <v>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4">
        <f t="shared" si="1"/>
        <v>0</v>
      </c>
      <c r="AI9" s="4">
        <f t="shared" si="2"/>
        <v>0</v>
      </c>
      <c r="AJ9" s="4">
        <f t="shared" si="3"/>
        <v>0</v>
      </c>
      <c r="AK9" s="4">
        <f t="shared" si="4"/>
        <v>0</v>
      </c>
    </row>
    <row r="10" spans="1:37" x14ac:dyDescent="0.25">
      <c r="A10" s="2">
        <v>5</v>
      </c>
      <c r="B10" s="2">
        <f>Annual_Report!B6</f>
        <v>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4">
        <f t="shared" si="1"/>
        <v>0</v>
      </c>
      <c r="AI10" s="4">
        <f t="shared" si="2"/>
        <v>0</v>
      </c>
      <c r="AJ10" s="4">
        <f t="shared" si="3"/>
        <v>0</v>
      </c>
      <c r="AK10" s="4">
        <f t="shared" si="4"/>
        <v>0</v>
      </c>
    </row>
    <row r="11" spans="1:37" x14ac:dyDescent="0.25">
      <c r="A11" s="2">
        <v>6</v>
      </c>
      <c r="B11" s="2">
        <f>Annual_Report!B7</f>
        <v>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4">
        <f t="shared" si="1"/>
        <v>0</v>
      </c>
      <c r="AI11" s="4">
        <f t="shared" si="2"/>
        <v>0</v>
      </c>
      <c r="AJ11" s="4">
        <f t="shared" si="3"/>
        <v>0</v>
      </c>
      <c r="AK11" s="4">
        <f t="shared" si="4"/>
        <v>0</v>
      </c>
    </row>
    <row r="12" spans="1:37" x14ac:dyDescent="0.25">
      <c r="A12" s="2">
        <v>7</v>
      </c>
      <c r="B12" s="2">
        <f>Annual_Report!B8</f>
        <v>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4">
        <f t="shared" si="1"/>
        <v>0</v>
      </c>
      <c r="AI12" s="4">
        <f t="shared" si="2"/>
        <v>0</v>
      </c>
      <c r="AJ12" s="4">
        <f t="shared" si="3"/>
        <v>0</v>
      </c>
      <c r="AK12" s="4">
        <f t="shared" si="4"/>
        <v>0</v>
      </c>
    </row>
    <row r="13" spans="1:37" x14ac:dyDescent="0.25">
      <c r="A13" s="2">
        <v>8</v>
      </c>
      <c r="B13" s="2">
        <f>Annual_Report!B9</f>
        <v>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4">
        <f t="shared" si="1"/>
        <v>0</v>
      </c>
      <c r="AI13" s="4">
        <f t="shared" si="2"/>
        <v>0</v>
      </c>
      <c r="AJ13" s="4">
        <f t="shared" si="3"/>
        <v>0</v>
      </c>
      <c r="AK13" s="4">
        <f t="shared" si="4"/>
        <v>0</v>
      </c>
    </row>
    <row r="14" spans="1:37" x14ac:dyDescent="0.25">
      <c r="A14" s="2">
        <v>9</v>
      </c>
      <c r="B14" s="2">
        <f>Annual_Report!B10</f>
        <v>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4">
        <f t="shared" si="1"/>
        <v>0</v>
      </c>
      <c r="AI14" s="4">
        <f t="shared" si="2"/>
        <v>0</v>
      </c>
      <c r="AJ14" s="4">
        <f t="shared" si="3"/>
        <v>0</v>
      </c>
      <c r="AK14" s="4">
        <f t="shared" si="4"/>
        <v>0</v>
      </c>
    </row>
    <row r="15" spans="1:37" x14ac:dyDescent="0.25">
      <c r="A15" s="2">
        <v>10</v>
      </c>
      <c r="B15" s="2">
        <f>Annual_Report!B11</f>
        <v>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4">
        <f t="shared" si="1"/>
        <v>0</v>
      </c>
      <c r="AI15" s="4">
        <f t="shared" si="2"/>
        <v>0</v>
      </c>
      <c r="AJ15" s="4">
        <f t="shared" si="3"/>
        <v>0</v>
      </c>
      <c r="AK15" s="4">
        <f t="shared" si="4"/>
        <v>0</v>
      </c>
    </row>
    <row r="16" spans="1:37" x14ac:dyDescent="0.25">
      <c r="A16" s="2">
        <v>11</v>
      </c>
      <c r="B16" s="2">
        <f>Annual_Report!B12</f>
        <v>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4">
        <f t="shared" si="1"/>
        <v>0</v>
      </c>
      <c r="AI16" s="4">
        <f t="shared" si="2"/>
        <v>0</v>
      </c>
      <c r="AJ16" s="4">
        <f t="shared" si="3"/>
        <v>0</v>
      </c>
      <c r="AK16" s="4">
        <f t="shared" si="4"/>
        <v>0</v>
      </c>
    </row>
    <row r="17" spans="1:37" x14ac:dyDescent="0.25">
      <c r="A17" s="2">
        <v>12</v>
      </c>
      <c r="B17" s="2">
        <f>Annual_Report!B13</f>
        <v>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4">
        <f t="shared" si="1"/>
        <v>0</v>
      </c>
      <c r="AI17" s="4">
        <f t="shared" si="2"/>
        <v>0</v>
      </c>
      <c r="AJ17" s="4">
        <f t="shared" si="3"/>
        <v>0</v>
      </c>
      <c r="AK17" s="4">
        <f t="shared" si="4"/>
        <v>0</v>
      </c>
    </row>
    <row r="18" spans="1:37" x14ac:dyDescent="0.25">
      <c r="A18" s="2">
        <v>13</v>
      </c>
      <c r="B18" s="2">
        <f>Annual_Report!B14</f>
        <v>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4">
        <f t="shared" si="1"/>
        <v>0</v>
      </c>
      <c r="AI18" s="4">
        <f t="shared" si="2"/>
        <v>0</v>
      </c>
      <c r="AJ18" s="4">
        <f t="shared" si="3"/>
        <v>0</v>
      </c>
      <c r="AK18" s="4">
        <f t="shared" si="4"/>
        <v>0</v>
      </c>
    </row>
    <row r="19" spans="1:37" x14ac:dyDescent="0.25">
      <c r="A19" s="2">
        <v>14</v>
      </c>
      <c r="B19" s="2">
        <f>Annual_Report!B15</f>
        <v>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4">
        <f t="shared" si="1"/>
        <v>0</v>
      </c>
      <c r="AI19" s="4">
        <f t="shared" si="2"/>
        <v>0</v>
      </c>
      <c r="AJ19" s="4">
        <f t="shared" si="3"/>
        <v>0</v>
      </c>
      <c r="AK19" s="4">
        <f t="shared" si="4"/>
        <v>0</v>
      </c>
    </row>
    <row r="20" spans="1:37" x14ac:dyDescent="0.25">
      <c r="A20" s="2">
        <v>15</v>
      </c>
      <c r="B20" s="2">
        <f>Annual_Report!B16</f>
        <v>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4">
        <f t="shared" si="1"/>
        <v>0</v>
      </c>
      <c r="AI20" s="4">
        <f t="shared" si="2"/>
        <v>0</v>
      </c>
      <c r="AJ20" s="4">
        <f t="shared" si="3"/>
        <v>0</v>
      </c>
      <c r="AK20" s="4">
        <f t="shared" si="4"/>
        <v>0</v>
      </c>
    </row>
    <row r="21" spans="1:37" x14ac:dyDescent="0.25">
      <c r="A21" s="2">
        <v>16</v>
      </c>
      <c r="B21" s="2">
        <f>Annual_Report!B17</f>
        <v>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4">
        <f t="shared" si="1"/>
        <v>0</v>
      </c>
      <c r="AI21" s="4">
        <f t="shared" si="2"/>
        <v>0</v>
      </c>
      <c r="AJ21" s="4">
        <f t="shared" si="3"/>
        <v>0</v>
      </c>
      <c r="AK21" s="4">
        <f t="shared" si="4"/>
        <v>0</v>
      </c>
    </row>
    <row r="22" spans="1:37" x14ac:dyDescent="0.25">
      <c r="A22" s="2">
        <v>17</v>
      </c>
      <c r="B22" s="2">
        <f>Annual_Report!B18</f>
        <v>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4">
        <f t="shared" si="1"/>
        <v>0</v>
      </c>
      <c r="AI22" s="4">
        <f t="shared" si="2"/>
        <v>0</v>
      </c>
      <c r="AJ22" s="4">
        <f t="shared" si="3"/>
        <v>0</v>
      </c>
      <c r="AK22" s="4">
        <f t="shared" si="4"/>
        <v>0</v>
      </c>
    </row>
    <row r="23" spans="1:37" x14ac:dyDescent="0.25">
      <c r="A23" s="2">
        <v>18</v>
      </c>
      <c r="B23" s="2">
        <f>Annual_Report!B19</f>
        <v>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4">
        <f t="shared" si="1"/>
        <v>0</v>
      </c>
      <c r="AI23" s="4">
        <f t="shared" si="2"/>
        <v>0</v>
      </c>
      <c r="AJ23" s="4">
        <f t="shared" si="3"/>
        <v>0</v>
      </c>
      <c r="AK23" s="4">
        <f t="shared" si="4"/>
        <v>0</v>
      </c>
    </row>
    <row r="24" spans="1:37" x14ac:dyDescent="0.25">
      <c r="A24" s="2">
        <v>19</v>
      </c>
      <c r="B24" s="2">
        <f>Annual_Report!B20</f>
        <v>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4">
        <f t="shared" si="1"/>
        <v>0</v>
      </c>
      <c r="AI24" s="4">
        <f t="shared" si="2"/>
        <v>0</v>
      </c>
      <c r="AJ24" s="4">
        <f t="shared" si="3"/>
        <v>0</v>
      </c>
      <c r="AK24" s="4">
        <f t="shared" si="4"/>
        <v>0</v>
      </c>
    </row>
    <row r="25" spans="1:37" x14ac:dyDescent="0.25">
      <c r="A25" s="2">
        <v>20</v>
      </c>
      <c r="B25" s="2">
        <f>Annual_Report!B21</f>
        <v>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4">
        <f t="shared" si="1"/>
        <v>0</v>
      </c>
      <c r="AI25" s="4">
        <f t="shared" si="2"/>
        <v>0</v>
      </c>
      <c r="AJ25" s="4">
        <f t="shared" si="3"/>
        <v>0</v>
      </c>
      <c r="AK25" s="4">
        <f t="shared" si="4"/>
        <v>0</v>
      </c>
    </row>
    <row r="26" spans="1:37" x14ac:dyDescent="0.25">
      <c r="A26" s="2">
        <v>21</v>
      </c>
      <c r="B26" s="2">
        <f>Annual_Report!B22</f>
        <v>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4">
        <f t="shared" si="1"/>
        <v>0</v>
      </c>
      <c r="AI26" s="4">
        <f t="shared" si="2"/>
        <v>0</v>
      </c>
      <c r="AJ26" s="4">
        <f t="shared" si="3"/>
        <v>0</v>
      </c>
      <c r="AK26" s="4">
        <f t="shared" si="4"/>
        <v>0</v>
      </c>
    </row>
    <row r="27" spans="1:37" x14ac:dyDescent="0.25">
      <c r="A27" s="2">
        <v>22</v>
      </c>
      <c r="B27" s="2">
        <f>Annual_Report!B23</f>
        <v>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4">
        <f t="shared" si="1"/>
        <v>0</v>
      </c>
      <c r="AI27" s="4">
        <f t="shared" si="2"/>
        <v>0</v>
      </c>
      <c r="AJ27" s="4">
        <f t="shared" si="3"/>
        <v>0</v>
      </c>
      <c r="AK27" s="4">
        <f t="shared" si="4"/>
        <v>0</v>
      </c>
    </row>
    <row r="28" spans="1:37" x14ac:dyDescent="0.25">
      <c r="A28" s="2">
        <v>23</v>
      </c>
      <c r="B28" s="2">
        <f>Annual_Report!B24</f>
        <v>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4">
        <f t="shared" si="1"/>
        <v>0</v>
      </c>
      <c r="AI28" s="4">
        <f t="shared" si="2"/>
        <v>0</v>
      </c>
      <c r="AJ28" s="4">
        <f t="shared" si="3"/>
        <v>0</v>
      </c>
      <c r="AK28" s="4">
        <f t="shared" si="4"/>
        <v>0</v>
      </c>
    </row>
    <row r="29" spans="1:37" x14ac:dyDescent="0.25">
      <c r="A29" s="2">
        <v>24</v>
      </c>
      <c r="B29" s="2">
        <f>Annual_Report!B25</f>
        <v>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4">
        <f t="shared" si="1"/>
        <v>0</v>
      </c>
      <c r="AI29" s="4">
        <f t="shared" si="2"/>
        <v>0</v>
      </c>
      <c r="AJ29" s="4">
        <f t="shared" si="3"/>
        <v>0</v>
      </c>
      <c r="AK29" s="4">
        <f t="shared" si="4"/>
        <v>0</v>
      </c>
    </row>
    <row r="30" spans="1:37" x14ac:dyDescent="0.25">
      <c r="A30" s="2">
        <v>25</v>
      </c>
      <c r="B30" s="2">
        <f>Annual_Report!B26</f>
        <v>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4">
        <f t="shared" si="1"/>
        <v>0</v>
      </c>
      <c r="AI30" s="4">
        <f t="shared" si="2"/>
        <v>0</v>
      </c>
      <c r="AJ30" s="4">
        <f t="shared" si="3"/>
        <v>0</v>
      </c>
      <c r="AK30" s="4">
        <f t="shared" si="4"/>
        <v>0</v>
      </c>
    </row>
    <row r="31" spans="1:37" x14ac:dyDescent="0.25">
      <c r="A31" s="2">
        <v>26</v>
      </c>
      <c r="B31" s="2">
        <f>Annual_Report!B27</f>
        <v>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4">
        <f t="shared" si="1"/>
        <v>0</v>
      </c>
      <c r="AI31" s="4">
        <f t="shared" si="2"/>
        <v>0</v>
      </c>
      <c r="AJ31" s="4">
        <f t="shared" si="3"/>
        <v>0</v>
      </c>
      <c r="AK31" s="4">
        <f t="shared" si="4"/>
        <v>0</v>
      </c>
    </row>
    <row r="32" spans="1:37" x14ac:dyDescent="0.25">
      <c r="A32" s="2">
        <v>27</v>
      </c>
      <c r="B32" s="2">
        <f>Annual_Report!B28</f>
        <v>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4">
        <f t="shared" si="1"/>
        <v>0</v>
      </c>
      <c r="AI32" s="4">
        <f t="shared" si="2"/>
        <v>0</v>
      </c>
      <c r="AJ32" s="4">
        <f t="shared" si="3"/>
        <v>0</v>
      </c>
      <c r="AK32" s="4">
        <f t="shared" si="4"/>
        <v>0</v>
      </c>
    </row>
    <row r="33" spans="1:37" x14ac:dyDescent="0.25">
      <c r="A33" s="2">
        <v>28</v>
      </c>
      <c r="B33" s="2">
        <f>Annual_Report!B29</f>
        <v>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4">
        <f t="shared" si="1"/>
        <v>0</v>
      </c>
      <c r="AI33" s="4">
        <f t="shared" si="2"/>
        <v>0</v>
      </c>
      <c r="AJ33" s="4">
        <f t="shared" si="3"/>
        <v>0</v>
      </c>
      <c r="AK33" s="4">
        <f t="shared" si="4"/>
        <v>0</v>
      </c>
    </row>
    <row r="34" spans="1:37" x14ac:dyDescent="0.25">
      <c r="A34" s="2">
        <v>29</v>
      </c>
      <c r="B34" s="2">
        <f>Annual_Report!B30</f>
        <v>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4">
        <f t="shared" si="1"/>
        <v>0</v>
      </c>
      <c r="AI34" s="4">
        <f t="shared" si="2"/>
        <v>0</v>
      </c>
      <c r="AJ34" s="4">
        <f t="shared" si="3"/>
        <v>0</v>
      </c>
      <c r="AK34" s="4">
        <f t="shared" si="4"/>
        <v>0</v>
      </c>
    </row>
    <row r="35" spans="1:37" x14ac:dyDescent="0.25">
      <c r="A35" s="2">
        <v>30</v>
      </c>
      <c r="B35" s="2">
        <f>Annual_Report!B31</f>
        <v>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4">
        <f t="shared" si="1"/>
        <v>0</v>
      </c>
      <c r="AI35" s="4">
        <f t="shared" si="2"/>
        <v>0</v>
      </c>
      <c r="AJ35" s="4">
        <f t="shared" si="3"/>
        <v>0</v>
      </c>
      <c r="AK35" s="4">
        <f t="shared" si="4"/>
        <v>0</v>
      </c>
    </row>
    <row r="36" spans="1:37" x14ac:dyDescent="0.25">
      <c r="A36" s="2">
        <v>31</v>
      </c>
      <c r="B36" s="2">
        <f>Annual_Report!B32</f>
        <v>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4">
        <f t="shared" si="1"/>
        <v>0</v>
      </c>
      <c r="AI36" s="4">
        <f t="shared" si="2"/>
        <v>0</v>
      </c>
      <c r="AJ36" s="4">
        <f t="shared" si="3"/>
        <v>0</v>
      </c>
      <c r="AK36" s="4">
        <f t="shared" si="4"/>
        <v>0</v>
      </c>
    </row>
    <row r="37" spans="1:37" x14ac:dyDescent="0.25">
      <c r="A37" s="2">
        <v>32</v>
      </c>
      <c r="B37" s="2">
        <f>Annual_Report!B33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4">
        <f t="shared" si="1"/>
        <v>0</v>
      </c>
      <c r="AI37" s="4">
        <f t="shared" si="2"/>
        <v>0</v>
      </c>
      <c r="AJ37" s="4">
        <f t="shared" si="3"/>
        <v>0</v>
      </c>
      <c r="AK37" s="4">
        <f t="shared" si="4"/>
        <v>0</v>
      </c>
    </row>
    <row r="38" spans="1:37" x14ac:dyDescent="0.25">
      <c r="A38" s="2">
        <v>33</v>
      </c>
      <c r="B38" s="2">
        <f>Annual_Report!B34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4">
        <f t="shared" ref="AH38:AH69" si="5">COUNTIF($C38:$AG38, "ح")</f>
        <v>0</v>
      </c>
      <c r="AI38" s="4">
        <f t="shared" ref="AI38:AI69" si="6">COUNTIF($C38:$AG38, "غ")</f>
        <v>0</v>
      </c>
      <c r="AJ38" s="4">
        <f t="shared" ref="AJ38:AJ69" si="7">COUNTIF($C38:$AG38, "ج")</f>
        <v>0</v>
      </c>
      <c r="AK38" s="4">
        <f t="shared" ref="AK38:AK69" si="8">COUNTIF($C38:$AG38, "م")</f>
        <v>0</v>
      </c>
    </row>
    <row r="39" spans="1:37" x14ac:dyDescent="0.25">
      <c r="A39" s="2">
        <v>34</v>
      </c>
      <c r="B39" s="2">
        <f>Annual_Report!B35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4">
        <f t="shared" si="5"/>
        <v>0</v>
      </c>
      <c r="AI39" s="4">
        <f t="shared" si="6"/>
        <v>0</v>
      </c>
      <c r="AJ39" s="4">
        <f t="shared" si="7"/>
        <v>0</v>
      </c>
      <c r="AK39" s="4">
        <f t="shared" si="8"/>
        <v>0</v>
      </c>
    </row>
    <row r="40" spans="1:37" x14ac:dyDescent="0.25">
      <c r="A40" s="2">
        <v>35</v>
      </c>
      <c r="B40" s="2">
        <f>Annual_Report!B36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4">
        <f t="shared" si="5"/>
        <v>0</v>
      </c>
      <c r="AI40" s="4">
        <f t="shared" si="6"/>
        <v>0</v>
      </c>
      <c r="AJ40" s="4">
        <f t="shared" si="7"/>
        <v>0</v>
      </c>
      <c r="AK40" s="4">
        <f t="shared" si="8"/>
        <v>0</v>
      </c>
    </row>
    <row r="41" spans="1:37" x14ac:dyDescent="0.25">
      <c r="A41" s="2">
        <v>36</v>
      </c>
      <c r="B41" s="2">
        <f>Annual_Report!B37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4">
        <f t="shared" si="5"/>
        <v>0</v>
      </c>
      <c r="AI41" s="4">
        <f t="shared" si="6"/>
        <v>0</v>
      </c>
      <c r="AJ41" s="4">
        <f t="shared" si="7"/>
        <v>0</v>
      </c>
      <c r="AK41" s="4">
        <f t="shared" si="8"/>
        <v>0</v>
      </c>
    </row>
    <row r="42" spans="1:37" x14ac:dyDescent="0.25">
      <c r="A42" s="2">
        <v>37</v>
      </c>
      <c r="B42" s="2">
        <f>Annual_Report!B38</f>
        <v>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4">
        <f t="shared" si="5"/>
        <v>0</v>
      </c>
      <c r="AI42" s="4">
        <f t="shared" si="6"/>
        <v>0</v>
      </c>
      <c r="AJ42" s="4">
        <f t="shared" si="7"/>
        <v>0</v>
      </c>
      <c r="AK42" s="4">
        <f t="shared" si="8"/>
        <v>0</v>
      </c>
    </row>
    <row r="43" spans="1:37" x14ac:dyDescent="0.25">
      <c r="A43" s="2">
        <v>38</v>
      </c>
      <c r="B43" s="2">
        <f>Annual_Report!B39</f>
        <v>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4">
        <f t="shared" si="5"/>
        <v>0</v>
      </c>
      <c r="AI43" s="4">
        <f t="shared" si="6"/>
        <v>0</v>
      </c>
      <c r="AJ43" s="4">
        <f t="shared" si="7"/>
        <v>0</v>
      </c>
      <c r="AK43" s="4">
        <f t="shared" si="8"/>
        <v>0</v>
      </c>
    </row>
    <row r="44" spans="1:37" x14ac:dyDescent="0.25">
      <c r="A44" s="2">
        <v>39</v>
      </c>
      <c r="B44" s="2">
        <f>Annual_Report!B40</f>
        <v>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4">
        <f t="shared" si="5"/>
        <v>0</v>
      </c>
      <c r="AI44" s="4">
        <f t="shared" si="6"/>
        <v>0</v>
      </c>
      <c r="AJ44" s="4">
        <f t="shared" si="7"/>
        <v>0</v>
      </c>
      <c r="AK44" s="4">
        <f t="shared" si="8"/>
        <v>0</v>
      </c>
    </row>
    <row r="45" spans="1:37" x14ac:dyDescent="0.25">
      <c r="A45" s="2">
        <v>40</v>
      </c>
      <c r="B45" s="2">
        <f>Annual_Report!B41</f>
        <v>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4">
        <f t="shared" si="5"/>
        <v>0</v>
      </c>
      <c r="AI45" s="4">
        <f t="shared" si="6"/>
        <v>0</v>
      </c>
      <c r="AJ45" s="4">
        <f t="shared" si="7"/>
        <v>0</v>
      </c>
      <c r="AK45" s="4">
        <f t="shared" si="8"/>
        <v>0</v>
      </c>
    </row>
    <row r="46" spans="1:37" x14ac:dyDescent="0.25">
      <c r="A46" s="2">
        <v>41</v>
      </c>
      <c r="B46" s="2">
        <f>Annual_Report!B42</f>
        <v>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4">
        <f t="shared" si="5"/>
        <v>0</v>
      </c>
      <c r="AI46" s="4">
        <f t="shared" si="6"/>
        <v>0</v>
      </c>
      <c r="AJ46" s="4">
        <f t="shared" si="7"/>
        <v>0</v>
      </c>
      <c r="AK46" s="4">
        <f t="shared" si="8"/>
        <v>0</v>
      </c>
    </row>
    <row r="47" spans="1:37" x14ac:dyDescent="0.25">
      <c r="A47" s="2">
        <v>42</v>
      </c>
      <c r="B47" s="2">
        <f>Annual_Report!B43</f>
        <v>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4">
        <f t="shared" si="5"/>
        <v>0</v>
      </c>
      <c r="AI47" s="4">
        <f t="shared" si="6"/>
        <v>0</v>
      </c>
      <c r="AJ47" s="4">
        <f t="shared" si="7"/>
        <v>0</v>
      </c>
      <c r="AK47" s="4">
        <f t="shared" si="8"/>
        <v>0</v>
      </c>
    </row>
    <row r="48" spans="1:37" x14ac:dyDescent="0.25">
      <c r="A48" s="2">
        <v>43</v>
      </c>
      <c r="B48" s="2">
        <f>Annual_Report!B44</f>
        <v>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4">
        <f t="shared" si="5"/>
        <v>0</v>
      </c>
      <c r="AI48" s="4">
        <f t="shared" si="6"/>
        <v>0</v>
      </c>
      <c r="AJ48" s="4">
        <f t="shared" si="7"/>
        <v>0</v>
      </c>
      <c r="AK48" s="4">
        <f t="shared" si="8"/>
        <v>0</v>
      </c>
    </row>
    <row r="49" spans="1:37" x14ac:dyDescent="0.25">
      <c r="A49" s="2">
        <v>44</v>
      </c>
      <c r="B49" s="2">
        <f>Annual_Report!B45</f>
        <v>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4">
        <f t="shared" si="5"/>
        <v>0</v>
      </c>
      <c r="AI49" s="4">
        <f t="shared" si="6"/>
        <v>0</v>
      </c>
      <c r="AJ49" s="4">
        <f t="shared" si="7"/>
        <v>0</v>
      </c>
      <c r="AK49" s="4">
        <f t="shared" si="8"/>
        <v>0</v>
      </c>
    </row>
    <row r="50" spans="1:37" x14ac:dyDescent="0.25">
      <c r="A50" s="2">
        <v>45</v>
      </c>
      <c r="B50" s="2">
        <f>Annual_Report!B46</f>
        <v>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4">
        <f t="shared" si="5"/>
        <v>0</v>
      </c>
      <c r="AI50" s="4">
        <f t="shared" si="6"/>
        <v>0</v>
      </c>
      <c r="AJ50" s="4">
        <f t="shared" si="7"/>
        <v>0</v>
      </c>
      <c r="AK50" s="4">
        <f t="shared" si="8"/>
        <v>0</v>
      </c>
    </row>
    <row r="51" spans="1:37" x14ac:dyDescent="0.25">
      <c r="A51" s="2">
        <v>46</v>
      </c>
      <c r="B51" s="2">
        <f>Annual_Report!B47</f>
        <v>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4">
        <f t="shared" si="5"/>
        <v>0</v>
      </c>
      <c r="AI51" s="4">
        <f t="shared" si="6"/>
        <v>0</v>
      </c>
      <c r="AJ51" s="4">
        <f t="shared" si="7"/>
        <v>0</v>
      </c>
      <c r="AK51" s="4">
        <f t="shared" si="8"/>
        <v>0</v>
      </c>
    </row>
    <row r="52" spans="1:37" x14ac:dyDescent="0.25">
      <c r="A52" s="2">
        <v>47</v>
      </c>
      <c r="B52" s="2">
        <f>Annual_Report!B48</f>
        <v>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4">
        <f t="shared" si="5"/>
        <v>0</v>
      </c>
      <c r="AI52" s="4">
        <f t="shared" si="6"/>
        <v>0</v>
      </c>
      <c r="AJ52" s="4">
        <f t="shared" si="7"/>
        <v>0</v>
      </c>
      <c r="AK52" s="4">
        <f t="shared" si="8"/>
        <v>0</v>
      </c>
    </row>
    <row r="53" spans="1:37" x14ac:dyDescent="0.25">
      <c r="A53" s="2">
        <v>48</v>
      </c>
      <c r="B53" s="2">
        <f>Annual_Report!B49</f>
        <v>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4">
        <f t="shared" si="5"/>
        <v>0</v>
      </c>
      <c r="AI53" s="4">
        <f t="shared" si="6"/>
        <v>0</v>
      </c>
      <c r="AJ53" s="4">
        <f t="shared" si="7"/>
        <v>0</v>
      </c>
      <c r="AK53" s="4">
        <f t="shared" si="8"/>
        <v>0</v>
      </c>
    </row>
    <row r="54" spans="1:37" x14ac:dyDescent="0.25">
      <c r="A54" s="2">
        <v>49</v>
      </c>
      <c r="B54" s="2">
        <f>Annual_Report!B50</f>
        <v>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4">
        <f t="shared" si="5"/>
        <v>0</v>
      </c>
      <c r="AI54" s="4">
        <f t="shared" si="6"/>
        <v>0</v>
      </c>
      <c r="AJ54" s="4">
        <f t="shared" si="7"/>
        <v>0</v>
      </c>
      <c r="AK54" s="4">
        <f t="shared" si="8"/>
        <v>0</v>
      </c>
    </row>
    <row r="55" spans="1:37" x14ac:dyDescent="0.25">
      <c r="A55" s="2">
        <v>50</v>
      </c>
      <c r="B55" s="2">
        <f>Annual_Report!B51</f>
        <v>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4">
        <f t="shared" si="5"/>
        <v>0</v>
      </c>
      <c r="AI55" s="4">
        <f t="shared" si="6"/>
        <v>0</v>
      </c>
      <c r="AJ55" s="4">
        <f t="shared" si="7"/>
        <v>0</v>
      </c>
      <c r="AK55" s="4">
        <f t="shared" si="8"/>
        <v>0</v>
      </c>
    </row>
    <row r="56" spans="1:37" x14ac:dyDescent="0.25">
      <c r="A56" s="2">
        <v>51</v>
      </c>
      <c r="B56" s="2">
        <f>Annual_Report!B52</f>
        <v>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4">
        <f t="shared" si="5"/>
        <v>0</v>
      </c>
      <c r="AI56" s="4">
        <f t="shared" si="6"/>
        <v>0</v>
      </c>
      <c r="AJ56" s="4">
        <f t="shared" si="7"/>
        <v>0</v>
      </c>
      <c r="AK56" s="4">
        <f t="shared" si="8"/>
        <v>0</v>
      </c>
    </row>
    <row r="57" spans="1:37" x14ac:dyDescent="0.25">
      <c r="A57" s="2">
        <v>52</v>
      </c>
      <c r="B57" s="2">
        <f>Annual_Report!B53</f>
        <v>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4">
        <f t="shared" si="5"/>
        <v>0</v>
      </c>
      <c r="AI57" s="4">
        <f t="shared" si="6"/>
        <v>0</v>
      </c>
      <c r="AJ57" s="4">
        <f t="shared" si="7"/>
        <v>0</v>
      </c>
      <c r="AK57" s="4">
        <f t="shared" si="8"/>
        <v>0</v>
      </c>
    </row>
    <row r="58" spans="1:37" x14ac:dyDescent="0.25">
      <c r="A58" s="2">
        <v>53</v>
      </c>
      <c r="B58" s="2">
        <f>Annual_Report!B54</f>
        <v>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4">
        <f t="shared" si="5"/>
        <v>0</v>
      </c>
      <c r="AI58" s="4">
        <f t="shared" si="6"/>
        <v>0</v>
      </c>
      <c r="AJ58" s="4">
        <f t="shared" si="7"/>
        <v>0</v>
      </c>
      <c r="AK58" s="4">
        <f t="shared" si="8"/>
        <v>0</v>
      </c>
    </row>
    <row r="59" spans="1:37" x14ac:dyDescent="0.25">
      <c r="A59" s="2">
        <v>54</v>
      </c>
      <c r="B59" s="2">
        <f>Annual_Report!B55</f>
        <v>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4">
        <f t="shared" si="5"/>
        <v>0</v>
      </c>
      <c r="AI59" s="4">
        <f t="shared" si="6"/>
        <v>0</v>
      </c>
      <c r="AJ59" s="4">
        <f t="shared" si="7"/>
        <v>0</v>
      </c>
      <c r="AK59" s="4">
        <f t="shared" si="8"/>
        <v>0</v>
      </c>
    </row>
    <row r="60" spans="1:37" x14ac:dyDescent="0.25">
      <c r="A60" s="2">
        <v>55</v>
      </c>
      <c r="B60" s="2">
        <f>Annual_Report!B56</f>
        <v>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4">
        <f t="shared" si="5"/>
        <v>0</v>
      </c>
      <c r="AI60" s="4">
        <f t="shared" si="6"/>
        <v>0</v>
      </c>
      <c r="AJ60" s="4">
        <f t="shared" si="7"/>
        <v>0</v>
      </c>
      <c r="AK60" s="4">
        <f t="shared" si="8"/>
        <v>0</v>
      </c>
    </row>
    <row r="61" spans="1:37" x14ac:dyDescent="0.25">
      <c r="A61" s="2">
        <v>56</v>
      </c>
      <c r="B61" s="2">
        <f>Annual_Report!B57</f>
        <v>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4">
        <f t="shared" si="5"/>
        <v>0</v>
      </c>
      <c r="AI61" s="4">
        <f t="shared" si="6"/>
        <v>0</v>
      </c>
      <c r="AJ61" s="4">
        <f t="shared" si="7"/>
        <v>0</v>
      </c>
      <c r="AK61" s="4">
        <f t="shared" si="8"/>
        <v>0</v>
      </c>
    </row>
    <row r="62" spans="1:37" x14ac:dyDescent="0.25">
      <c r="A62" s="2">
        <v>57</v>
      </c>
      <c r="B62" s="2">
        <f>Annual_Report!B58</f>
        <v>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4">
        <f t="shared" si="5"/>
        <v>0</v>
      </c>
      <c r="AI62" s="4">
        <f t="shared" si="6"/>
        <v>0</v>
      </c>
      <c r="AJ62" s="4">
        <f t="shared" si="7"/>
        <v>0</v>
      </c>
      <c r="AK62" s="4">
        <f t="shared" si="8"/>
        <v>0</v>
      </c>
    </row>
    <row r="63" spans="1:37" x14ac:dyDescent="0.25">
      <c r="A63" s="2">
        <v>58</v>
      </c>
      <c r="B63" s="2">
        <f>Annual_Report!B59</f>
        <v>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4">
        <f t="shared" si="5"/>
        <v>0</v>
      </c>
      <c r="AI63" s="4">
        <f t="shared" si="6"/>
        <v>0</v>
      </c>
      <c r="AJ63" s="4">
        <f t="shared" si="7"/>
        <v>0</v>
      </c>
      <c r="AK63" s="4">
        <f t="shared" si="8"/>
        <v>0</v>
      </c>
    </row>
    <row r="64" spans="1:37" x14ac:dyDescent="0.25">
      <c r="A64" s="2">
        <v>59</v>
      </c>
      <c r="B64" s="2">
        <f>Annual_Report!B60</f>
        <v>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4">
        <f t="shared" si="5"/>
        <v>0</v>
      </c>
      <c r="AI64" s="4">
        <f t="shared" si="6"/>
        <v>0</v>
      </c>
      <c r="AJ64" s="4">
        <f t="shared" si="7"/>
        <v>0</v>
      </c>
      <c r="AK64" s="4">
        <f t="shared" si="8"/>
        <v>0</v>
      </c>
    </row>
    <row r="65" spans="1:37" x14ac:dyDescent="0.25">
      <c r="A65" s="2">
        <v>60</v>
      </c>
      <c r="B65" s="2">
        <f>Annual_Report!B61</f>
        <v>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4">
        <f t="shared" si="5"/>
        <v>0</v>
      </c>
      <c r="AI65" s="4">
        <f t="shared" si="6"/>
        <v>0</v>
      </c>
      <c r="AJ65" s="4">
        <f t="shared" si="7"/>
        <v>0</v>
      </c>
      <c r="AK65" s="4">
        <f t="shared" si="8"/>
        <v>0</v>
      </c>
    </row>
    <row r="66" spans="1:37" x14ac:dyDescent="0.25">
      <c r="A66" s="2">
        <v>61</v>
      </c>
      <c r="B66" s="2">
        <f>Annual_Report!B62</f>
        <v>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4">
        <f t="shared" si="5"/>
        <v>0</v>
      </c>
      <c r="AI66" s="4">
        <f t="shared" si="6"/>
        <v>0</v>
      </c>
      <c r="AJ66" s="4">
        <f t="shared" si="7"/>
        <v>0</v>
      </c>
      <c r="AK66" s="4">
        <f t="shared" si="8"/>
        <v>0</v>
      </c>
    </row>
    <row r="67" spans="1:37" x14ac:dyDescent="0.25">
      <c r="A67" s="2">
        <v>62</v>
      </c>
      <c r="B67" s="2">
        <f>Annual_Report!B63</f>
        <v>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4">
        <f t="shared" si="5"/>
        <v>0</v>
      </c>
      <c r="AI67" s="4">
        <f t="shared" si="6"/>
        <v>0</v>
      </c>
      <c r="AJ67" s="4">
        <f t="shared" si="7"/>
        <v>0</v>
      </c>
      <c r="AK67" s="4">
        <f t="shared" si="8"/>
        <v>0</v>
      </c>
    </row>
    <row r="68" spans="1:37" x14ac:dyDescent="0.25">
      <c r="A68" s="2">
        <v>63</v>
      </c>
      <c r="B68" s="2">
        <f>Annual_Report!B64</f>
        <v>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4">
        <f t="shared" si="5"/>
        <v>0</v>
      </c>
      <c r="AI68" s="4">
        <f t="shared" si="6"/>
        <v>0</v>
      </c>
      <c r="AJ68" s="4">
        <f t="shared" si="7"/>
        <v>0</v>
      </c>
      <c r="AK68" s="4">
        <f t="shared" si="8"/>
        <v>0</v>
      </c>
    </row>
    <row r="69" spans="1:37" x14ac:dyDescent="0.25">
      <c r="A69" s="2">
        <v>64</v>
      </c>
      <c r="B69" s="2">
        <f>Annual_Report!B65</f>
        <v>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4">
        <f t="shared" si="5"/>
        <v>0</v>
      </c>
      <c r="AI69" s="4">
        <f t="shared" si="6"/>
        <v>0</v>
      </c>
      <c r="AJ69" s="4">
        <f t="shared" si="7"/>
        <v>0</v>
      </c>
      <c r="AK69" s="4">
        <f t="shared" si="8"/>
        <v>0</v>
      </c>
    </row>
    <row r="70" spans="1:37" x14ac:dyDescent="0.25">
      <c r="A70" s="2">
        <v>65</v>
      </c>
      <c r="B70" s="2">
        <f>Annual_Report!B66</f>
        <v>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4">
        <f t="shared" ref="AH70:AH105" si="9">COUNTIF($C70:$AG70, "ح")</f>
        <v>0</v>
      </c>
      <c r="AI70" s="4">
        <f t="shared" ref="AI70:AI105" si="10">COUNTIF($C70:$AG70, "غ")</f>
        <v>0</v>
      </c>
      <c r="AJ70" s="4">
        <f t="shared" ref="AJ70:AJ105" si="11">COUNTIF($C70:$AG70, "ج")</f>
        <v>0</v>
      </c>
      <c r="AK70" s="4">
        <f t="shared" ref="AK70:AK105" si="12">COUNTIF($C70:$AG70, "م")</f>
        <v>0</v>
      </c>
    </row>
    <row r="71" spans="1:37" x14ac:dyDescent="0.25">
      <c r="A71" s="2">
        <v>66</v>
      </c>
      <c r="B71" s="2">
        <f>Annual_Report!B67</f>
        <v>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4">
        <f t="shared" si="9"/>
        <v>0</v>
      </c>
      <c r="AI71" s="4">
        <f t="shared" si="10"/>
        <v>0</v>
      </c>
      <c r="AJ71" s="4">
        <f t="shared" si="11"/>
        <v>0</v>
      </c>
      <c r="AK71" s="4">
        <f t="shared" si="12"/>
        <v>0</v>
      </c>
    </row>
    <row r="72" spans="1:37" x14ac:dyDescent="0.25">
      <c r="A72" s="2">
        <v>67</v>
      </c>
      <c r="B72" s="2">
        <f>Annual_Report!B68</f>
        <v>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4">
        <f t="shared" si="9"/>
        <v>0</v>
      </c>
      <c r="AI72" s="4">
        <f t="shared" si="10"/>
        <v>0</v>
      </c>
      <c r="AJ72" s="4">
        <f t="shared" si="11"/>
        <v>0</v>
      </c>
      <c r="AK72" s="4">
        <f t="shared" si="12"/>
        <v>0</v>
      </c>
    </row>
    <row r="73" spans="1:37" x14ac:dyDescent="0.25">
      <c r="A73" s="2">
        <v>68</v>
      </c>
      <c r="B73" s="2">
        <f>Annual_Report!B69</f>
        <v>0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4">
        <f t="shared" si="9"/>
        <v>0</v>
      </c>
      <c r="AI73" s="4">
        <f t="shared" si="10"/>
        <v>0</v>
      </c>
      <c r="AJ73" s="4">
        <f t="shared" si="11"/>
        <v>0</v>
      </c>
      <c r="AK73" s="4">
        <f t="shared" si="12"/>
        <v>0</v>
      </c>
    </row>
    <row r="74" spans="1:37" x14ac:dyDescent="0.25">
      <c r="A74" s="2">
        <v>69</v>
      </c>
      <c r="B74" s="2">
        <f>Annual_Report!B70</f>
        <v>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4">
        <f t="shared" si="9"/>
        <v>0</v>
      </c>
      <c r="AI74" s="4">
        <f t="shared" si="10"/>
        <v>0</v>
      </c>
      <c r="AJ74" s="4">
        <f t="shared" si="11"/>
        <v>0</v>
      </c>
      <c r="AK74" s="4">
        <f t="shared" si="12"/>
        <v>0</v>
      </c>
    </row>
    <row r="75" spans="1:37" x14ac:dyDescent="0.25">
      <c r="A75" s="2">
        <v>70</v>
      </c>
      <c r="B75" s="2">
        <f>Annual_Report!B71</f>
        <v>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4">
        <f t="shared" si="9"/>
        <v>0</v>
      </c>
      <c r="AI75" s="4">
        <f t="shared" si="10"/>
        <v>0</v>
      </c>
      <c r="AJ75" s="4">
        <f t="shared" si="11"/>
        <v>0</v>
      </c>
      <c r="AK75" s="4">
        <f t="shared" si="12"/>
        <v>0</v>
      </c>
    </row>
    <row r="76" spans="1:37" x14ac:dyDescent="0.25">
      <c r="A76" s="2">
        <v>71</v>
      </c>
      <c r="B76" s="2">
        <f>Annual_Report!B72</f>
        <v>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4">
        <f t="shared" si="9"/>
        <v>0</v>
      </c>
      <c r="AI76" s="4">
        <f t="shared" si="10"/>
        <v>0</v>
      </c>
      <c r="AJ76" s="4">
        <f t="shared" si="11"/>
        <v>0</v>
      </c>
      <c r="AK76" s="4">
        <f t="shared" si="12"/>
        <v>0</v>
      </c>
    </row>
    <row r="77" spans="1:37" x14ac:dyDescent="0.25">
      <c r="A77" s="2">
        <v>72</v>
      </c>
      <c r="B77" s="2">
        <f>Annual_Report!B73</f>
        <v>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4">
        <f t="shared" si="9"/>
        <v>0</v>
      </c>
      <c r="AI77" s="4">
        <f t="shared" si="10"/>
        <v>0</v>
      </c>
      <c r="AJ77" s="4">
        <f t="shared" si="11"/>
        <v>0</v>
      </c>
      <c r="AK77" s="4">
        <f t="shared" si="12"/>
        <v>0</v>
      </c>
    </row>
    <row r="78" spans="1:37" x14ac:dyDescent="0.25">
      <c r="A78" s="2">
        <v>73</v>
      </c>
      <c r="B78" s="2">
        <f>Annual_Report!B74</f>
        <v>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4">
        <f t="shared" si="9"/>
        <v>0</v>
      </c>
      <c r="AI78" s="4">
        <f t="shared" si="10"/>
        <v>0</v>
      </c>
      <c r="AJ78" s="4">
        <f t="shared" si="11"/>
        <v>0</v>
      </c>
      <c r="AK78" s="4">
        <f t="shared" si="12"/>
        <v>0</v>
      </c>
    </row>
    <row r="79" spans="1:37" x14ac:dyDescent="0.25">
      <c r="A79" s="2">
        <v>74</v>
      </c>
      <c r="B79" s="2">
        <f>Annual_Report!B75</f>
        <v>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4">
        <f t="shared" si="9"/>
        <v>0</v>
      </c>
      <c r="AI79" s="4">
        <f t="shared" si="10"/>
        <v>0</v>
      </c>
      <c r="AJ79" s="4">
        <f t="shared" si="11"/>
        <v>0</v>
      </c>
      <c r="AK79" s="4">
        <f t="shared" si="12"/>
        <v>0</v>
      </c>
    </row>
    <row r="80" spans="1:37" x14ac:dyDescent="0.25">
      <c r="A80" s="2">
        <v>75</v>
      </c>
      <c r="B80" s="2">
        <f>Annual_Report!B76</f>
        <v>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4">
        <f t="shared" si="9"/>
        <v>0</v>
      </c>
      <c r="AI80" s="4">
        <f t="shared" si="10"/>
        <v>0</v>
      </c>
      <c r="AJ80" s="4">
        <f t="shared" si="11"/>
        <v>0</v>
      </c>
      <c r="AK80" s="4">
        <f t="shared" si="12"/>
        <v>0</v>
      </c>
    </row>
    <row r="81" spans="1:37" x14ac:dyDescent="0.25">
      <c r="A81" s="2">
        <v>76</v>
      </c>
      <c r="B81" s="2">
        <f>Annual_Report!B77</f>
        <v>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4">
        <f t="shared" si="9"/>
        <v>0</v>
      </c>
      <c r="AI81" s="4">
        <f t="shared" si="10"/>
        <v>0</v>
      </c>
      <c r="AJ81" s="4">
        <f t="shared" si="11"/>
        <v>0</v>
      </c>
      <c r="AK81" s="4">
        <f t="shared" si="12"/>
        <v>0</v>
      </c>
    </row>
    <row r="82" spans="1:37" x14ac:dyDescent="0.25">
      <c r="A82" s="2">
        <v>77</v>
      </c>
      <c r="B82" s="2">
        <f>Annual_Report!B78</f>
        <v>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4">
        <f t="shared" si="9"/>
        <v>0</v>
      </c>
      <c r="AI82" s="4">
        <f t="shared" si="10"/>
        <v>0</v>
      </c>
      <c r="AJ82" s="4">
        <f t="shared" si="11"/>
        <v>0</v>
      </c>
      <c r="AK82" s="4">
        <f t="shared" si="12"/>
        <v>0</v>
      </c>
    </row>
    <row r="83" spans="1:37" x14ac:dyDescent="0.25">
      <c r="A83" s="2">
        <v>78</v>
      </c>
      <c r="B83" s="2">
        <f>Annual_Report!B79</f>
        <v>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4">
        <f t="shared" si="9"/>
        <v>0</v>
      </c>
      <c r="AI83" s="4">
        <f t="shared" si="10"/>
        <v>0</v>
      </c>
      <c r="AJ83" s="4">
        <f t="shared" si="11"/>
        <v>0</v>
      </c>
      <c r="AK83" s="4">
        <f t="shared" si="12"/>
        <v>0</v>
      </c>
    </row>
    <row r="84" spans="1:37" x14ac:dyDescent="0.25">
      <c r="A84" s="2">
        <v>79</v>
      </c>
      <c r="B84" s="2">
        <f>Annual_Report!B80</f>
        <v>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4">
        <f t="shared" si="9"/>
        <v>0</v>
      </c>
      <c r="AI84" s="4">
        <f t="shared" si="10"/>
        <v>0</v>
      </c>
      <c r="AJ84" s="4">
        <f t="shared" si="11"/>
        <v>0</v>
      </c>
      <c r="AK84" s="4">
        <f t="shared" si="12"/>
        <v>0</v>
      </c>
    </row>
    <row r="85" spans="1:37" x14ac:dyDescent="0.25">
      <c r="A85" s="2">
        <v>80</v>
      </c>
      <c r="B85" s="2">
        <f>Annual_Report!B81</f>
        <v>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4">
        <f t="shared" si="9"/>
        <v>0</v>
      </c>
      <c r="AI85" s="4">
        <f t="shared" si="10"/>
        <v>0</v>
      </c>
      <c r="AJ85" s="4">
        <f t="shared" si="11"/>
        <v>0</v>
      </c>
      <c r="AK85" s="4">
        <f t="shared" si="12"/>
        <v>0</v>
      </c>
    </row>
    <row r="86" spans="1:37" x14ac:dyDescent="0.25">
      <c r="A86" s="2">
        <v>81</v>
      </c>
      <c r="B86" s="2">
        <f>Annual_Report!B82</f>
        <v>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4">
        <f t="shared" si="9"/>
        <v>0</v>
      </c>
      <c r="AI86" s="4">
        <f t="shared" si="10"/>
        <v>0</v>
      </c>
      <c r="AJ86" s="4">
        <f t="shared" si="11"/>
        <v>0</v>
      </c>
      <c r="AK86" s="4">
        <f t="shared" si="12"/>
        <v>0</v>
      </c>
    </row>
    <row r="87" spans="1:37" x14ac:dyDescent="0.25">
      <c r="A87" s="2">
        <v>82</v>
      </c>
      <c r="B87" s="2">
        <f>Annual_Report!B83</f>
        <v>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4">
        <f t="shared" si="9"/>
        <v>0</v>
      </c>
      <c r="AI87" s="4">
        <f t="shared" si="10"/>
        <v>0</v>
      </c>
      <c r="AJ87" s="4">
        <f t="shared" si="11"/>
        <v>0</v>
      </c>
      <c r="AK87" s="4">
        <f t="shared" si="12"/>
        <v>0</v>
      </c>
    </row>
    <row r="88" spans="1:37" x14ac:dyDescent="0.25">
      <c r="A88" s="2">
        <v>83</v>
      </c>
      <c r="B88" s="2">
        <f>Annual_Report!B84</f>
        <v>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4">
        <f t="shared" si="9"/>
        <v>0</v>
      </c>
      <c r="AI88" s="4">
        <f t="shared" si="10"/>
        <v>0</v>
      </c>
      <c r="AJ88" s="4">
        <f t="shared" si="11"/>
        <v>0</v>
      </c>
      <c r="AK88" s="4">
        <f t="shared" si="12"/>
        <v>0</v>
      </c>
    </row>
    <row r="89" spans="1:37" x14ac:dyDescent="0.25">
      <c r="A89" s="2">
        <v>84</v>
      </c>
      <c r="B89" s="2">
        <f>Annual_Report!B85</f>
        <v>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4">
        <f t="shared" si="9"/>
        <v>0</v>
      </c>
      <c r="AI89" s="4">
        <f t="shared" si="10"/>
        <v>0</v>
      </c>
      <c r="AJ89" s="4">
        <f t="shared" si="11"/>
        <v>0</v>
      </c>
      <c r="AK89" s="4">
        <f t="shared" si="12"/>
        <v>0</v>
      </c>
    </row>
    <row r="90" spans="1:37" x14ac:dyDescent="0.25">
      <c r="A90" s="2">
        <v>85</v>
      </c>
      <c r="B90" s="2">
        <f>Annual_Report!B86</f>
        <v>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4">
        <f t="shared" si="9"/>
        <v>0</v>
      </c>
      <c r="AI90" s="4">
        <f t="shared" si="10"/>
        <v>0</v>
      </c>
      <c r="AJ90" s="4">
        <f t="shared" si="11"/>
        <v>0</v>
      </c>
      <c r="AK90" s="4">
        <f t="shared" si="12"/>
        <v>0</v>
      </c>
    </row>
    <row r="91" spans="1:37" x14ac:dyDescent="0.25">
      <c r="A91" s="2">
        <v>86</v>
      </c>
      <c r="B91" s="2">
        <f>Annual_Report!B87</f>
        <v>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4">
        <f t="shared" si="9"/>
        <v>0</v>
      </c>
      <c r="AI91" s="4">
        <f t="shared" si="10"/>
        <v>0</v>
      </c>
      <c r="AJ91" s="4">
        <f t="shared" si="11"/>
        <v>0</v>
      </c>
      <c r="AK91" s="4">
        <f t="shared" si="12"/>
        <v>0</v>
      </c>
    </row>
    <row r="92" spans="1:37" x14ac:dyDescent="0.25">
      <c r="A92" s="2">
        <v>87</v>
      </c>
      <c r="B92" s="2">
        <f>Annual_Report!B88</f>
        <v>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4">
        <f t="shared" si="9"/>
        <v>0</v>
      </c>
      <c r="AI92" s="4">
        <f t="shared" si="10"/>
        <v>0</v>
      </c>
      <c r="AJ92" s="4">
        <f t="shared" si="11"/>
        <v>0</v>
      </c>
      <c r="AK92" s="4">
        <f t="shared" si="12"/>
        <v>0</v>
      </c>
    </row>
    <row r="93" spans="1:37" x14ac:dyDescent="0.25">
      <c r="A93" s="2">
        <v>88</v>
      </c>
      <c r="B93" s="2">
        <f>Annual_Report!B89</f>
        <v>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4">
        <f t="shared" si="9"/>
        <v>0</v>
      </c>
      <c r="AI93" s="4">
        <f t="shared" si="10"/>
        <v>0</v>
      </c>
      <c r="AJ93" s="4">
        <f t="shared" si="11"/>
        <v>0</v>
      </c>
      <c r="AK93" s="4">
        <f t="shared" si="12"/>
        <v>0</v>
      </c>
    </row>
    <row r="94" spans="1:37" x14ac:dyDescent="0.25">
      <c r="A94" s="2">
        <v>89</v>
      </c>
      <c r="B94" s="2">
        <f>Annual_Report!B90</f>
        <v>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4">
        <f t="shared" si="9"/>
        <v>0</v>
      </c>
      <c r="AI94" s="4">
        <f t="shared" si="10"/>
        <v>0</v>
      </c>
      <c r="AJ94" s="4">
        <f t="shared" si="11"/>
        <v>0</v>
      </c>
      <c r="AK94" s="4">
        <f t="shared" si="12"/>
        <v>0</v>
      </c>
    </row>
    <row r="95" spans="1:37" x14ac:dyDescent="0.25">
      <c r="A95" s="2">
        <v>90</v>
      </c>
      <c r="B95" s="2">
        <f>Annual_Report!B91</f>
        <v>0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4">
        <f t="shared" si="9"/>
        <v>0</v>
      </c>
      <c r="AI95" s="4">
        <f t="shared" si="10"/>
        <v>0</v>
      </c>
      <c r="AJ95" s="4">
        <f t="shared" si="11"/>
        <v>0</v>
      </c>
      <c r="AK95" s="4">
        <f t="shared" si="12"/>
        <v>0</v>
      </c>
    </row>
    <row r="96" spans="1:37" x14ac:dyDescent="0.25">
      <c r="A96" s="2">
        <v>91</v>
      </c>
      <c r="B96" s="2">
        <f>Annual_Report!B92</f>
        <v>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4">
        <f t="shared" si="9"/>
        <v>0</v>
      </c>
      <c r="AI96" s="4">
        <f t="shared" si="10"/>
        <v>0</v>
      </c>
      <c r="AJ96" s="4">
        <f t="shared" si="11"/>
        <v>0</v>
      </c>
      <c r="AK96" s="4">
        <f t="shared" si="12"/>
        <v>0</v>
      </c>
    </row>
    <row r="97" spans="1:37" x14ac:dyDescent="0.25">
      <c r="A97" s="2">
        <v>92</v>
      </c>
      <c r="B97" s="2">
        <f>Annual_Report!B93</f>
        <v>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4">
        <f t="shared" si="9"/>
        <v>0</v>
      </c>
      <c r="AI97" s="4">
        <f t="shared" si="10"/>
        <v>0</v>
      </c>
      <c r="AJ97" s="4">
        <f t="shared" si="11"/>
        <v>0</v>
      </c>
      <c r="AK97" s="4">
        <f t="shared" si="12"/>
        <v>0</v>
      </c>
    </row>
    <row r="98" spans="1:37" x14ac:dyDescent="0.25">
      <c r="A98" s="2">
        <v>93</v>
      </c>
      <c r="B98" s="2">
        <f>Annual_Report!B94</f>
        <v>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4">
        <f t="shared" si="9"/>
        <v>0</v>
      </c>
      <c r="AI98" s="4">
        <f t="shared" si="10"/>
        <v>0</v>
      </c>
      <c r="AJ98" s="4">
        <f t="shared" si="11"/>
        <v>0</v>
      </c>
      <c r="AK98" s="4">
        <f t="shared" si="12"/>
        <v>0</v>
      </c>
    </row>
    <row r="99" spans="1:37" x14ac:dyDescent="0.25">
      <c r="A99" s="2">
        <v>94</v>
      </c>
      <c r="B99" s="2">
        <f>Annual_Report!B95</f>
        <v>0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4">
        <f t="shared" si="9"/>
        <v>0</v>
      </c>
      <c r="AI99" s="4">
        <f t="shared" si="10"/>
        <v>0</v>
      </c>
      <c r="AJ99" s="4">
        <f t="shared" si="11"/>
        <v>0</v>
      </c>
      <c r="AK99" s="4">
        <f t="shared" si="12"/>
        <v>0</v>
      </c>
    </row>
    <row r="100" spans="1:37" x14ac:dyDescent="0.25">
      <c r="A100" s="2">
        <v>95</v>
      </c>
      <c r="B100" s="2">
        <f>Annual_Report!B96</f>
        <v>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4">
        <f t="shared" si="9"/>
        <v>0</v>
      </c>
      <c r="AI100" s="4">
        <f t="shared" si="10"/>
        <v>0</v>
      </c>
      <c r="AJ100" s="4">
        <f t="shared" si="11"/>
        <v>0</v>
      </c>
      <c r="AK100" s="4">
        <f t="shared" si="12"/>
        <v>0</v>
      </c>
    </row>
    <row r="101" spans="1:37" x14ac:dyDescent="0.25">
      <c r="A101" s="2">
        <v>96</v>
      </c>
      <c r="B101" s="2">
        <f>Annual_Report!B97</f>
        <v>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4">
        <f t="shared" si="9"/>
        <v>0</v>
      </c>
      <c r="AI101" s="4">
        <f t="shared" si="10"/>
        <v>0</v>
      </c>
      <c r="AJ101" s="4">
        <f t="shared" si="11"/>
        <v>0</v>
      </c>
      <c r="AK101" s="4">
        <f t="shared" si="12"/>
        <v>0</v>
      </c>
    </row>
    <row r="102" spans="1:37" x14ac:dyDescent="0.25">
      <c r="A102" s="2">
        <v>97</v>
      </c>
      <c r="B102" s="2">
        <f>Annual_Report!B98</f>
        <v>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4">
        <f t="shared" si="9"/>
        <v>0</v>
      </c>
      <c r="AI102" s="4">
        <f t="shared" si="10"/>
        <v>0</v>
      </c>
      <c r="AJ102" s="4">
        <f t="shared" si="11"/>
        <v>0</v>
      </c>
      <c r="AK102" s="4">
        <f t="shared" si="12"/>
        <v>0</v>
      </c>
    </row>
    <row r="103" spans="1:37" x14ac:dyDescent="0.25">
      <c r="A103" s="2">
        <v>98</v>
      </c>
      <c r="B103" s="2">
        <f>Annual_Report!B99</f>
        <v>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4">
        <f t="shared" si="9"/>
        <v>0</v>
      </c>
      <c r="AI103" s="4">
        <f t="shared" si="10"/>
        <v>0</v>
      </c>
      <c r="AJ103" s="4">
        <f t="shared" si="11"/>
        <v>0</v>
      </c>
      <c r="AK103" s="4">
        <f t="shared" si="12"/>
        <v>0</v>
      </c>
    </row>
    <row r="104" spans="1:37" x14ac:dyDescent="0.25">
      <c r="A104" s="2">
        <v>99</v>
      </c>
      <c r="B104" s="2">
        <f>Annual_Report!B100</f>
        <v>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4">
        <f t="shared" si="9"/>
        <v>0</v>
      </c>
      <c r="AI104" s="4">
        <f t="shared" si="10"/>
        <v>0</v>
      </c>
      <c r="AJ104" s="4">
        <f t="shared" si="11"/>
        <v>0</v>
      </c>
      <c r="AK104" s="4">
        <f t="shared" si="12"/>
        <v>0</v>
      </c>
    </row>
    <row r="105" spans="1:37" x14ac:dyDescent="0.25">
      <c r="A105" s="2">
        <v>100</v>
      </c>
      <c r="B105" s="2">
        <f>Annual_Report!B101</f>
        <v>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4">
        <f t="shared" si="9"/>
        <v>0</v>
      </c>
      <c r="AI105" s="4">
        <f t="shared" si="10"/>
        <v>0</v>
      </c>
      <c r="AJ105" s="4">
        <f t="shared" si="11"/>
        <v>0</v>
      </c>
      <c r="AK105" s="4">
        <f t="shared" si="12"/>
        <v>0</v>
      </c>
    </row>
  </sheetData>
  <conditionalFormatting sqref="C6:AG105">
    <cfRule type="cellIs" dxfId="17" priority="1" stopIfTrue="1" operator="equal">
      <formula>"ح"</formula>
    </cfRule>
    <cfRule type="cellIs" dxfId="16" priority="2" stopIfTrue="1" operator="equal">
      <formula>"غ"</formula>
    </cfRule>
    <cfRule type="cellIs" dxfId="15" priority="3" stopIfTrue="1" operator="equal">
      <formula>"ج"</formula>
    </cfRule>
    <cfRule type="cellIs" dxfId="14" priority="4" stopIfTrue="1" operator="equal">
      <formula>"م"</formula>
    </cfRule>
    <cfRule type="cellIs" dxfId="13" priority="5" stopIfTrue="1" operator="equal">
      <formula>"ج"</formula>
    </cfRule>
    <cfRule type="cellIs" dxfId="12" priority="6" stopIfTrue="1" operator="equal">
      <formula>"م"</formula>
    </cfRule>
  </conditionalFormatting>
  <dataValidations count="1">
    <dataValidation type="list" allowBlank="1" showErrorMessage="1" errorTitle="خطأ في الإدخال" error="يرجى استخدام الحروف الصحيحة: ح - غ - ج - م" sqref="C6:AG105" xr:uid="{D7ED3924-67A4-422F-9C86-6640F11B1BEA}">
      <formula1>"ح,غ,ج,م"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6E44D-B68B-4139-A563-7F1D9F38925F}">
  <sheetPr codeName="Sheet91"/>
  <dimension ref="A1:AK105"/>
  <sheetViews>
    <sheetView rightToLeft="1" topLeftCell="I3" workbookViewId="0"/>
  </sheetViews>
  <sheetFormatPr defaultRowHeight="15" x14ac:dyDescent="0.25"/>
  <cols>
    <col min="1" max="1" width="4.7109375" customWidth="1"/>
    <col min="2" max="2" width="25.7109375" customWidth="1"/>
    <col min="3" max="33" width="4.7109375" customWidth="1"/>
    <col min="34" max="34" width="5.85546875" bestFit="1" customWidth="1"/>
    <col min="35" max="35" width="4.7109375" bestFit="1" customWidth="1"/>
    <col min="36" max="36" width="4.5703125" bestFit="1" customWidth="1"/>
    <col min="37" max="37" width="6" bestFit="1" customWidth="1"/>
  </cols>
  <sheetData>
    <row r="1" spans="1:37" x14ac:dyDescent="0.25">
      <c r="A1" s="6"/>
      <c r="B1" s="6"/>
      <c r="C1" s="5" t="s">
        <v>9</v>
      </c>
      <c r="D1" s="5" t="s">
        <v>0</v>
      </c>
      <c r="E1" s="5" t="s">
        <v>1</v>
      </c>
      <c r="F1" s="5" t="s">
        <v>10</v>
      </c>
      <c r="G1" s="5" t="s">
        <v>11</v>
      </c>
    </row>
    <row r="2" spans="1:37" x14ac:dyDescent="0.25">
      <c r="A2" s="6"/>
      <c r="B2" s="6"/>
      <c r="C2" s="5" t="s">
        <v>12</v>
      </c>
      <c r="D2" s="5" t="s">
        <v>6</v>
      </c>
      <c r="E2" s="5" t="s">
        <v>7</v>
      </c>
      <c r="F2" s="5" t="s">
        <v>8</v>
      </c>
      <c r="G2" s="5" t="s">
        <v>2</v>
      </c>
    </row>
    <row r="4" spans="1:37" ht="65.099999999999994" customHeight="1" x14ac:dyDescent="0.25">
      <c r="A4" s="2" t="s">
        <v>2</v>
      </c>
      <c r="B4" s="2" t="s">
        <v>3</v>
      </c>
      <c r="C4" s="1" t="str">
        <f>CHOOSE(WEEKDAY(C5), "الأحد","الاثنين","الثلاثاء","الأربعاء","الخميس","الجمعة","السبت")</f>
        <v>الأحد</v>
      </c>
      <c r="D4" s="1" t="str">
        <f t="shared" ref="D4:AG4" si="0">CHOOSE(WEEKDAY(D5), "الأحد","الاثنين","الثلاثاء","الأربعاء","الخميس","الجمعة","السبت")</f>
        <v>الاثنين</v>
      </c>
      <c r="E4" s="1" t="str">
        <f t="shared" si="0"/>
        <v>الثلاثاء</v>
      </c>
      <c r="F4" s="1" t="str">
        <f t="shared" si="0"/>
        <v>الأربعاء</v>
      </c>
      <c r="G4" s="1" t="str">
        <f t="shared" si="0"/>
        <v>الخميس</v>
      </c>
      <c r="H4" s="1" t="str">
        <f t="shared" si="0"/>
        <v>الجمعة</v>
      </c>
      <c r="I4" s="1" t="str">
        <f t="shared" si="0"/>
        <v>السبت</v>
      </c>
      <c r="J4" s="1" t="str">
        <f t="shared" si="0"/>
        <v>الأحد</v>
      </c>
      <c r="K4" s="1" t="str">
        <f t="shared" si="0"/>
        <v>الاثنين</v>
      </c>
      <c r="L4" s="1" t="str">
        <f t="shared" si="0"/>
        <v>الثلاثاء</v>
      </c>
      <c r="M4" s="1" t="str">
        <f t="shared" si="0"/>
        <v>الأربعاء</v>
      </c>
      <c r="N4" s="1" t="str">
        <f t="shared" si="0"/>
        <v>الخميس</v>
      </c>
      <c r="O4" s="1" t="str">
        <f t="shared" si="0"/>
        <v>الجمعة</v>
      </c>
      <c r="P4" s="1" t="str">
        <f t="shared" si="0"/>
        <v>السبت</v>
      </c>
      <c r="Q4" s="1" t="str">
        <f t="shared" si="0"/>
        <v>الأحد</v>
      </c>
      <c r="R4" s="1" t="str">
        <f t="shared" si="0"/>
        <v>الاثنين</v>
      </c>
      <c r="S4" s="1" t="str">
        <f t="shared" si="0"/>
        <v>الثلاثاء</v>
      </c>
      <c r="T4" s="1" t="str">
        <f t="shared" si="0"/>
        <v>الأربعاء</v>
      </c>
      <c r="U4" s="1" t="str">
        <f t="shared" si="0"/>
        <v>الخميس</v>
      </c>
      <c r="V4" s="1" t="str">
        <f t="shared" si="0"/>
        <v>الجمعة</v>
      </c>
      <c r="W4" s="1" t="str">
        <f t="shared" si="0"/>
        <v>السبت</v>
      </c>
      <c r="X4" s="1" t="str">
        <f t="shared" si="0"/>
        <v>الأحد</v>
      </c>
      <c r="Y4" s="1" t="str">
        <f t="shared" si="0"/>
        <v>الاثنين</v>
      </c>
      <c r="Z4" s="1" t="str">
        <f t="shared" si="0"/>
        <v>الثلاثاء</v>
      </c>
      <c r="AA4" s="1" t="str">
        <f t="shared" si="0"/>
        <v>الأربعاء</v>
      </c>
      <c r="AB4" s="1" t="str">
        <f t="shared" si="0"/>
        <v>الخميس</v>
      </c>
      <c r="AC4" s="1" t="str">
        <f t="shared" si="0"/>
        <v>الجمعة</v>
      </c>
      <c r="AD4" s="1" t="str">
        <f t="shared" si="0"/>
        <v>السبت</v>
      </c>
      <c r="AE4" s="1" t="str">
        <f t="shared" si="0"/>
        <v>الأحد</v>
      </c>
      <c r="AF4" s="1" t="str">
        <f t="shared" si="0"/>
        <v>الاثنين</v>
      </c>
      <c r="AG4" s="1" t="str">
        <f t="shared" si="0"/>
        <v>السبت</v>
      </c>
      <c r="AH4" s="9" t="s">
        <v>0</v>
      </c>
      <c r="AI4" s="9" t="s">
        <v>1</v>
      </c>
      <c r="AJ4" s="9" t="s">
        <v>10</v>
      </c>
      <c r="AK4" s="9" t="s">
        <v>11</v>
      </c>
    </row>
    <row r="5" spans="1:37" x14ac:dyDescent="0.25">
      <c r="A5" s="2"/>
      <c r="B5" s="2"/>
      <c r="C5" s="3" cm="1">
        <f t="array" ref="C5:AF5">_xlfn.SEQUENCE(1, DAY(EOMONTH(DATE(2026,11,1),0)), DATE(2026,11,1))</f>
        <v>46327</v>
      </c>
      <c r="D5" s="3">
        <v>46328</v>
      </c>
      <c r="E5" s="3">
        <v>46329</v>
      </c>
      <c r="F5" s="3">
        <v>46330</v>
      </c>
      <c r="G5" s="3">
        <v>46331</v>
      </c>
      <c r="H5" s="3">
        <v>46332</v>
      </c>
      <c r="I5" s="3">
        <v>46333</v>
      </c>
      <c r="J5" s="3">
        <v>46334</v>
      </c>
      <c r="K5" s="3">
        <v>46335</v>
      </c>
      <c r="L5" s="3">
        <v>46336</v>
      </c>
      <c r="M5" s="3">
        <v>46337</v>
      </c>
      <c r="N5" s="3">
        <v>46338</v>
      </c>
      <c r="O5" s="3">
        <v>46339</v>
      </c>
      <c r="P5" s="3">
        <v>46340</v>
      </c>
      <c r="Q5" s="3">
        <v>46341</v>
      </c>
      <c r="R5" s="3">
        <v>46342</v>
      </c>
      <c r="S5" s="3">
        <v>46343</v>
      </c>
      <c r="T5" s="3">
        <v>46344</v>
      </c>
      <c r="U5" s="3">
        <v>46345</v>
      </c>
      <c r="V5" s="3">
        <v>46346</v>
      </c>
      <c r="W5" s="3">
        <v>46347</v>
      </c>
      <c r="X5" s="3">
        <v>46348</v>
      </c>
      <c r="Y5" s="3">
        <v>46349</v>
      </c>
      <c r="Z5" s="3">
        <v>46350</v>
      </c>
      <c r="AA5" s="3">
        <v>46351</v>
      </c>
      <c r="AB5" s="3">
        <v>46352</v>
      </c>
      <c r="AC5" s="3">
        <v>46353</v>
      </c>
      <c r="AD5" s="3">
        <v>46354</v>
      </c>
      <c r="AE5" s="3">
        <v>46355</v>
      </c>
      <c r="AF5" s="3">
        <v>46356</v>
      </c>
      <c r="AG5" s="3"/>
      <c r="AH5" s="4"/>
      <c r="AI5" s="4"/>
      <c r="AJ5" s="4"/>
      <c r="AK5" s="4"/>
    </row>
    <row r="6" spans="1:37" x14ac:dyDescent="0.25">
      <c r="A6" s="2">
        <v>1</v>
      </c>
      <c r="B6" s="2">
        <f>Annual_Report!B2</f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4">
        <f t="shared" ref="AH6:AH37" si="1">COUNTIF($C6:$AG6, "ح")</f>
        <v>0</v>
      </c>
      <c r="AI6" s="4">
        <f t="shared" ref="AI6:AI37" si="2">COUNTIF($C6:$AG6, "غ")</f>
        <v>0</v>
      </c>
      <c r="AJ6" s="4">
        <f t="shared" ref="AJ6:AJ37" si="3">COUNTIF($C6:$AG6, "ج")</f>
        <v>0</v>
      </c>
      <c r="AK6" s="4">
        <f t="shared" ref="AK6:AK37" si="4">COUNTIF($C6:$AG6, "م")</f>
        <v>0</v>
      </c>
    </row>
    <row r="7" spans="1:37" x14ac:dyDescent="0.25">
      <c r="A7" s="2">
        <v>2</v>
      </c>
      <c r="B7" s="2">
        <f>Annual_Report!B3</f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4">
        <f t="shared" si="1"/>
        <v>0</v>
      </c>
      <c r="AI7" s="4">
        <f t="shared" si="2"/>
        <v>0</v>
      </c>
      <c r="AJ7" s="4">
        <f t="shared" si="3"/>
        <v>0</v>
      </c>
      <c r="AK7" s="4">
        <f t="shared" si="4"/>
        <v>0</v>
      </c>
    </row>
    <row r="8" spans="1:37" x14ac:dyDescent="0.25">
      <c r="A8" s="2">
        <v>3</v>
      </c>
      <c r="B8" s="2">
        <f>Annual_Report!B4</f>
        <v>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4">
        <f t="shared" si="1"/>
        <v>0</v>
      </c>
      <c r="AI8" s="4">
        <f t="shared" si="2"/>
        <v>0</v>
      </c>
      <c r="AJ8" s="4">
        <f t="shared" si="3"/>
        <v>0</v>
      </c>
      <c r="AK8" s="4">
        <f t="shared" si="4"/>
        <v>0</v>
      </c>
    </row>
    <row r="9" spans="1:37" x14ac:dyDescent="0.25">
      <c r="A9" s="2">
        <v>4</v>
      </c>
      <c r="B9" s="2">
        <f>Annual_Report!B5</f>
        <v>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4">
        <f t="shared" si="1"/>
        <v>0</v>
      </c>
      <c r="AI9" s="4">
        <f t="shared" si="2"/>
        <v>0</v>
      </c>
      <c r="AJ9" s="4">
        <f t="shared" si="3"/>
        <v>0</v>
      </c>
      <c r="AK9" s="4">
        <f t="shared" si="4"/>
        <v>0</v>
      </c>
    </row>
    <row r="10" spans="1:37" x14ac:dyDescent="0.25">
      <c r="A10" s="2">
        <v>5</v>
      </c>
      <c r="B10" s="2">
        <f>Annual_Report!B6</f>
        <v>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4">
        <f t="shared" si="1"/>
        <v>0</v>
      </c>
      <c r="AI10" s="4">
        <f t="shared" si="2"/>
        <v>0</v>
      </c>
      <c r="AJ10" s="4">
        <f t="shared" si="3"/>
        <v>0</v>
      </c>
      <c r="AK10" s="4">
        <f t="shared" si="4"/>
        <v>0</v>
      </c>
    </row>
    <row r="11" spans="1:37" x14ac:dyDescent="0.25">
      <c r="A11" s="2">
        <v>6</v>
      </c>
      <c r="B11" s="2">
        <f>Annual_Report!B7</f>
        <v>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4">
        <f t="shared" si="1"/>
        <v>0</v>
      </c>
      <c r="AI11" s="4">
        <f t="shared" si="2"/>
        <v>0</v>
      </c>
      <c r="AJ11" s="4">
        <f t="shared" si="3"/>
        <v>0</v>
      </c>
      <c r="AK11" s="4">
        <f t="shared" si="4"/>
        <v>0</v>
      </c>
    </row>
    <row r="12" spans="1:37" x14ac:dyDescent="0.25">
      <c r="A12" s="2">
        <v>7</v>
      </c>
      <c r="B12" s="2">
        <f>Annual_Report!B8</f>
        <v>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4">
        <f t="shared" si="1"/>
        <v>0</v>
      </c>
      <c r="AI12" s="4">
        <f t="shared" si="2"/>
        <v>0</v>
      </c>
      <c r="AJ12" s="4">
        <f t="shared" si="3"/>
        <v>0</v>
      </c>
      <c r="AK12" s="4">
        <f t="shared" si="4"/>
        <v>0</v>
      </c>
    </row>
    <row r="13" spans="1:37" x14ac:dyDescent="0.25">
      <c r="A13" s="2">
        <v>8</v>
      </c>
      <c r="B13" s="2">
        <f>Annual_Report!B9</f>
        <v>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4">
        <f t="shared" si="1"/>
        <v>0</v>
      </c>
      <c r="AI13" s="4">
        <f t="shared" si="2"/>
        <v>0</v>
      </c>
      <c r="AJ13" s="4">
        <f t="shared" si="3"/>
        <v>0</v>
      </c>
      <c r="AK13" s="4">
        <f t="shared" si="4"/>
        <v>0</v>
      </c>
    </row>
    <row r="14" spans="1:37" x14ac:dyDescent="0.25">
      <c r="A14" s="2">
        <v>9</v>
      </c>
      <c r="B14" s="2">
        <f>Annual_Report!B10</f>
        <v>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4">
        <f t="shared" si="1"/>
        <v>0</v>
      </c>
      <c r="AI14" s="4">
        <f t="shared" si="2"/>
        <v>0</v>
      </c>
      <c r="AJ14" s="4">
        <f t="shared" si="3"/>
        <v>0</v>
      </c>
      <c r="AK14" s="4">
        <f t="shared" si="4"/>
        <v>0</v>
      </c>
    </row>
    <row r="15" spans="1:37" x14ac:dyDescent="0.25">
      <c r="A15" s="2">
        <v>10</v>
      </c>
      <c r="B15" s="2">
        <f>Annual_Report!B11</f>
        <v>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4">
        <f t="shared" si="1"/>
        <v>0</v>
      </c>
      <c r="AI15" s="4">
        <f t="shared" si="2"/>
        <v>0</v>
      </c>
      <c r="AJ15" s="4">
        <f t="shared" si="3"/>
        <v>0</v>
      </c>
      <c r="AK15" s="4">
        <f t="shared" si="4"/>
        <v>0</v>
      </c>
    </row>
    <row r="16" spans="1:37" x14ac:dyDescent="0.25">
      <c r="A16" s="2">
        <v>11</v>
      </c>
      <c r="B16" s="2">
        <f>Annual_Report!B12</f>
        <v>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4">
        <f t="shared" si="1"/>
        <v>0</v>
      </c>
      <c r="AI16" s="4">
        <f t="shared" si="2"/>
        <v>0</v>
      </c>
      <c r="AJ16" s="4">
        <f t="shared" si="3"/>
        <v>0</v>
      </c>
      <c r="AK16" s="4">
        <f t="shared" si="4"/>
        <v>0</v>
      </c>
    </row>
    <row r="17" spans="1:37" x14ac:dyDescent="0.25">
      <c r="A17" s="2">
        <v>12</v>
      </c>
      <c r="B17" s="2">
        <f>Annual_Report!B13</f>
        <v>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4">
        <f t="shared" si="1"/>
        <v>0</v>
      </c>
      <c r="AI17" s="4">
        <f t="shared" si="2"/>
        <v>0</v>
      </c>
      <c r="AJ17" s="4">
        <f t="shared" si="3"/>
        <v>0</v>
      </c>
      <c r="AK17" s="4">
        <f t="shared" si="4"/>
        <v>0</v>
      </c>
    </row>
    <row r="18" spans="1:37" x14ac:dyDescent="0.25">
      <c r="A18" s="2">
        <v>13</v>
      </c>
      <c r="B18" s="2">
        <f>Annual_Report!B14</f>
        <v>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4">
        <f t="shared" si="1"/>
        <v>0</v>
      </c>
      <c r="AI18" s="4">
        <f t="shared" si="2"/>
        <v>0</v>
      </c>
      <c r="AJ18" s="4">
        <f t="shared" si="3"/>
        <v>0</v>
      </c>
      <c r="AK18" s="4">
        <f t="shared" si="4"/>
        <v>0</v>
      </c>
    </row>
    <row r="19" spans="1:37" x14ac:dyDescent="0.25">
      <c r="A19" s="2">
        <v>14</v>
      </c>
      <c r="B19" s="2">
        <f>Annual_Report!B15</f>
        <v>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4">
        <f t="shared" si="1"/>
        <v>0</v>
      </c>
      <c r="AI19" s="4">
        <f t="shared" si="2"/>
        <v>0</v>
      </c>
      <c r="AJ19" s="4">
        <f t="shared" si="3"/>
        <v>0</v>
      </c>
      <c r="AK19" s="4">
        <f t="shared" si="4"/>
        <v>0</v>
      </c>
    </row>
    <row r="20" spans="1:37" x14ac:dyDescent="0.25">
      <c r="A20" s="2">
        <v>15</v>
      </c>
      <c r="B20" s="2">
        <f>Annual_Report!B16</f>
        <v>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4">
        <f t="shared" si="1"/>
        <v>0</v>
      </c>
      <c r="AI20" s="4">
        <f t="shared" si="2"/>
        <v>0</v>
      </c>
      <c r="AJ20" s="4">
        <f t="shared" si="3"/>
        <v>0</v>
      </c>
      <c r="AK20" s="4">
        <f t="shared" si="4"/>
        <v>0</v>
      </c>
    </row>
    <row r="21" spans="1:37" x14ac:dyDescent="0.25">
      <c r="A21" s="2">
        <v>16</v>
      </c>
      <c r="B21" s="2">
        <f>Annual_Report!B17</f>
        <v>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4">
        <f t="shared" si="1"/>
        <v>0</v>
      </c>
      <c r="AI21" s="4">
        <f t="shared" si="2"/>
        <v>0</v>
      </c>
      <c r="AJ21" s="4">
        <f t="shared" si="3"/>
        <v>0</v>
      </c>
      <c r="AK21" s="4">
        <f t="shared" si="4"/>
        <v>0</v>
      </c>
    </row>
    <row r="22" spans="1:37" x14ac:dyDescent="0.25">
      <c r="A22" s="2">
        <v>17</v>
      </c>
      <c r="B22" s="2">
        <f>Annual_Report!B18</f>
        <v>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4">
        <f t="shared" si="1"/>
        <v>0</v>
      </c>
      <c r="AI22" s="4">
        <f t="shared" si="2"/>
        <v>0</v>
      </c>
      <c r="AJ22" s="4">
        <f t="shared" si="3"/>
        <v>0</v>
      </c>
      <c r="AK22" s="4">
        <f t="shared" si="4"/>
        <v>0</v>
      </c>
    </row>
    <row r="23" spans="1:37" x14ac:dyDescent="0.25">
      <c r="A23" s="2">
        <v>18</v>
      </c>
      <c r="B23" s="2">
        <f>Annual_Report!B19</f>
        <v>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4">
        <f t="shared" si="1"/>
        <v>0</v>
      </c>
      <c r="AI23" s="4">
        <f t="shared" si="2"/>
        <v>0</v>
      </c>
      <c r="AJ23" s="4">
        <f t="shared" si="3"/>
        <v>0</v>
      </c>
      <c r="AK23" s="4">
        <f t="shared" si="4"/>
        <v>0</v>
      </c>
    </row>
    <row r="24" spans="1:37" x14ac:dyDescent="0.25">
      <c r="A24" s="2">
        <v>19</v>
      </c>
      <c r="B24" s="2">
        <f>Annual_Report!B20</f>
        <v>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4">
        <f t="shared" si="1"/>
        <v>0</v>
      </c>
      <c r="AI24" s="4">
        <f t="shared" si="2"/>
        <v>0</v>
      </c>
      <c r="AJ24" s="4">
        <f t="shared" si="3"/>
        <v>0</v>
      </c>
      <c r="AK24" s="4">
        <f t="shared" si="4"/>
        <v>0</v>
      </c>
    </row>
    <row r="25" spans="1:37" x14ac:dyDescent="0.25">
      <c r="A25" s="2">
        <v>20</v>
      </c>
      <c r="B25" s="2">
        <f>Annual_Report!B21</f>
        <v>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4">
        <f t="shared" si="1"/>
        <v>0</v>
      </c>
      <c r="AI25" s="4">
        <f t="shared" si="2"/>
        <v>0</v>
      </c>
      <c r="AJ25" s="4">
        <f t="shared" si="3"/>
        <v>0</v>
      </c>
      <c r="AK25" s="4">
        <f t="shared" si="4"/>
        <v>0</v>
      </c>
    </row>
    <row r="26" spans="1:37" x14ac:dyDescent="0.25">
      <c r="A26" s="2">
        <v>21</v>
      </c>
      <c r="B26" s="2">
        <f>Annual_Report!B22</f>
        <v>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4">
        <f t="shared" si="1"/>
        <v>0</v>
      </c>
      <c r="AI26" s="4">
        <f t="shared" si="2"/>
        <v>0</v>
      </c>
      <c r="AJ26" s="4">
        <f t="shared" si="3"/>
        <v>0</v>
      </c>
      <c r="AK26" s="4">
        <f t="shared" si="4"/>
        <v>0</v>
      </c>
    </row>
    <row r="27" spans="1:37" x14ac:dyDescent="0.25">
      <c r="A27" s="2">
        <v>22</v>
      </c>
      <c r="B27" s="2">
        <f>Annual_Report!B23</f>
        <v>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4">
        <f t="shared" si="1"/>
        <v>0</v>
      </c>
      <c r="AI27" s="4">
        <f t="shared" si="2"/>
        <v>0</v>
      </c>
      <c r="AJ27" s="4">
        <f t="shared" si="3"/>
        <v>0</v>
      </c>
      <c r="AK27" s="4">
        <f t="shared" si="4"/>
        <v>0</v>
      </c>
    </row>
    <row r="28" spans="1:37" x14ac:dyDescent="0.25">
      <c r="A28" s="2">
        <v>23</v>
      </c>
      <c r="B28" s="2">
        <f>Annual_Report!B24</f>
        <v>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4">
        <f t="shared" si="1"/>
        <v>0</v>
      </c>
      <c r="AI28" s="4">
        <f t="shared" si="2"/>
        <v>0</v>
      </c>
      <c r="AJ28" s="4">
        <f t="shared" si="3"/>
        <v>0</v>
      </c>
      <c r="AK28" s="4">
        <f t="shared" si="4"/>
        <v>0</v>
      </c>
    </row>
    <row r="29" spans="1:37" x14ac:dyDescent="0.25">
      <c r="A29" s="2">
        <v>24</v>
      </c>
      <c r="B29" s="2">
        <f>Annual_Report!B25</f>
        <v>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4">
        <f t="shared" si="1"/>
        <v>0</v>
      </c>
      <c r="AI29" s="4">
        <f t="shared" si="2"/>
        <v>0</v>
      </c>
      <c r="AJ29" s="4">
        <f t="shared" si="3"/>
        <v>0</v>
      </c>
      <c r="AK29" s="4">
        <f t="shared" si="4"/>
        <v>0</v>
      </c>
    </row>
    <row r="30" spans="1:37" x14ac:dyDescent="0.25">
      <c r="A30" s="2">
        <v>25</v>
      </c>
      <c r="B30" s="2">
        <f>Annual_Report!B26</f>
        <v>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4">
        <f t="shared" si="1"/>
        <v>0</v>
      </c>
      <c r="AI30" s="4">
        <f t="shared" si="2"/>
        <v>0</v>
      </c>
      <c r="AJ30" s="4">
        <f t="shared" si="3"/>
        <v>0</v>
      </c>
      <c r="AK30" s="4">
        <f t="shared" si="4"/>
        <v>0</v>
      </c>
    </row>
    <row r="31" spans="1:37" x14ac:dyDescent="0.25">
      <c r="A31" s="2">
        <v>26</v>
      </c>
      <c r="B31" s="2">
        <f>Annual_Report!B27</f>
        <v>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4">
        <f t="shared" si="1"/>
        <v>0</v>
      </c>
      <c r="AI31" s="4">
        <f t="shared" si="2"/>
        <v>0</v>
      </c>
      <c r="AJ31" s="4">
        <f t="shared" si="3"/>
        <v>0</v>
      </c>
      <c r="AK31" s="4">
        <f t="shared" si="4"/>
        <v>0</v>
      </c>
    </row>
    <row r="32" spans="1:37" x14ac:dyDescent="0.25">
      <c r="A32" s="2">
        <v>27</v>
      </c>
      <c r="B32" s="2">
        <f>Annual_Report!B28</f>
        <v>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4">
        <f t="shared" si="1"/>
        <v>0</v>
      </c>
      <c r="AI32" s="4">
        <f t="shared" si="2"/>
        <v>0</v>
      </c>
      <c r="AJ32" s="4">
        <f t="shared" si="3"/>
        <v>0</v>
      </c>
      <c r="AK32" s="4">
        <f t="shared" si="4"/>
        <v>0</v>
      </c>
    </row>
    <row r="33" spans="1:37" x14ac:dyDescent="0.25">
      <c r="A33" s="2">
        <v>28</v>
      </c>
      <c r="B33" s="2">
        <f>Annual_Report!B29</f>
        <v>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4">
        <f t="shared" si="1"/>
        <v>0</v>
      </c>
      <c r="AI33" s="4">
        <f t="shared" si="2"/>
        <v>0</v>
      </c>
      <c r="AJ33" s="4">
        <f t="shared" si="3"/>
        <v>0</v>
      </c>
      <c r="AK33" s="4">
        <f t="shared" si="4"/>
        <v>0</v>
      </c>
    </row>
    <row r="34" spans="1:37" x14ac:dyDescent="0.25">
      <c r="A34" s="2">
        <v>29</v>
      </c>
      <c r="B34" s="2">
        <f>Annual_Report!B30</f>
        <v>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4">
        <f t="shared" si="1"/>
        <v>0</v>
      </c>
      <c r="AI34" s="4">
        <f t="shared" si="2"/>
        <v>0</v>
      </c>
      <c r="AJ34" s="4">
        <f t="shared" si="3"/>
        <v>0</v>
      </c>
      <c r="AK34" s="4">
        <f t="shared" si="4"/>
        <v>0</v>
      </c>
    </row>
    <row r="35" spans="1:37" x14ac:dyDescent="0.25">
      <c r="A35" s="2">
        <v>30</v>
      </c>
      <c r="B35" s="2">
        <f>Annual_Report!B31</f>
        <v>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4">
        <f t="shared" si="1"/>
        <v>0</v>
      </c>
      <c r="AI35" s="4">
        <f t="shared" si="2"/>
        <v>0</v>
      </c>
      <c r="AJ35" s="4">
        <f t="shared" si="3"/>
        <v>0</v>
      </c>
      <c r="AK35" s="4">
        <f t="shared" si="4"/>
        <v>0</v>
      </c>
    </row>
    <row r="36" spans="1:37" x14ac:dyDescent="0.25">
      <c r="A36" s="2">
        <v>31</v>
      </c>
      <c r="B36" s="2">
        <f>Annual_Report!B32</f>
        <v>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4">
        <f t="shared" si="1"/>
        <v>0</v>
      </c>
      <c r="AI36" s="4">
        <f t="shared" si="2"/>
        <v>0</v>
      </c>
      <c r="AJ36" s="4">
        <f t="shared" si="3"/>
        <v>0</v>
      </c>
      <c r="AK36" s="4">
        <f t="shared" si="4"/>
        <v>0</v>
      </c>
    </row>
    <row r="37" spans="1:37" x14ac:dyDescent="0.25">
      <c r="A37" s="2">
        <v>32</v>
      </c>
      <c r="B37" s="2">
        <f>Annual_Report!B33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4">
        <f t="shared" si="1"/>
        <v>0</v>
      </c>
      <c r="AI37" s="4">
        <f t="shared" si="2"/>
        <v>0</v>
      </c>
      <c r="AJ37" s="4">
        <f t="shared" si="3"/>
        <v>0</v>
      </c>
      <c r="AK37" s="4">
        <f t="shared" si="4"/>
        <v>0</v>
      </c>
    </row>
    <row r="38" spans="1:37" x14ac:dyDescent="0.25">
      <c r="A38" s="2">
        <v>33</v>
      </c>
      <c r="B38" s="2">
        <f>Annual_Report!B34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4">
        <f t="shared" ref="AH38:AH69" si="5">COUNTIF($C38:$AG38, "ح")</f>
        <v>0</v>
      </c>
      <c r="AI38" s="4">
        <f t="shared" ref="AI38:AI69" si="6">COUNTIF($C38:$AG38, "غ")</f>
        <v>0</v>
      </c>
      <c r="AJ38" s="4">
        <f t="shared" ref="AJ38:AJ69" si="7">COUNTIF($C38:$AG38, "ج")</f>
        <v>0</v>
      </c>
      <c r="AK38" s="4">
        <f t="shared" ref="AK38:AK69" si="8">COUNTIF($C38:$AG38, "م")</f>
        <v>0</v>
      </c>
    </row>
    <row r="39" spans="1:37" x14ac:dyDescent="0.25">
      <c r="A39" s="2">
        <v>34</v>
      </c>
      <c r="B39" s="2">
        <f>Annual_Report!B35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4">
        <f t="shared" si="5"/>
        <v>0</v>
      </c>
      <c r="AI39" s="4">
        <f t="shared" si="6"/>
        <v>0</v>
      </c>
      <c r="AJ39" s="4">
        <f t="shared" si="7"/>
        <v>0</v>
      </c>
      <c r="AK39" s="4">
        <f t="shared" si="8"/>
        <v>0</v>
      </c>
    </row>
    <row r="40" spans="1:37" x14ac:dyDescent="0.25">
      <c r="A40" s="2">
        <v>35</v>
      </c>
      <c r="B40" s="2">
        <f>Annual_Report!B36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4">
        <f t="shared" si="5"/>
        <v>0</v>
      </c>
      <c r="AI40" s="4">
        <f t="shared" si="6"/>
        <v>0</v>
      </c>
      <c r="AJ40" s="4">
        <f t="shared" si="7"/>
        <v>0</v>
      </c>
      <c r="AK40" s="4">
        <f t="shared" si="8"/>
        <v>0</v>
      </c>
    </row>
    <row r="41" spans="1:37" x14ac:dyDescent="0.25">
      <c r="A41" s="2">
        <v>36</v>
      </c>
      <c r="B41" s="2">
        <f>Annual_Report!B37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4">
        <f t="shared" si="5"/>
        <v>0</v>
      </c>
      <c r="AI41" s="4">
        <f t="shared" si="6"/>
        <v>0</v>
      </c>
      <c r="AJ41" s="4">
        <f t="shared" si="7"/>
        <v>0</v>
      </c>
      <c r="AK41" s="4">
        <f t="shared" si="8"/>
        <v>0</v>
      </c>
    </row>
    <row r="42" spans="1:37" x14ac:dyDescent="0.25">
      <c r="A42" s="2">
        <v>37</v>
      </c>
      <c r="B42" s="2">
        <f>Annual_Report!B38</f>
        <v>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4">
        <f t="shared" si="5"/>
        <v>0</v>
      </c>
      <c r="AI42" s="4">
        <f t="shared" si="6"/>
        <v>0</v>
      </c>
      <c r="AJ42" s="4">
        <f t="shared" si="7"/>
        <v>0</v>
      </c>
      <c r="AK42" s="4">
        <f t="shared" si="8"/>
        <v>0</v>
      </c>
    </row>
    <row r="43" spans="1:37" x14ac:dyDescent="0.25">
      <c r="A43" s="2">
        <v>38</v>
      </c>
      <c r="B43" s="2">
        <f>Annual_Report!B39</f>
        <v>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4">
        <f t="shared" si="5"/>
        <v>0</v>
      </c>
      <c r="AI43" s="4">
        <f t="shared" si="6"/>
        <v>0</v>
      </c>
      <c r="AJ43" s="4">
        <f t="shared" si="7"/>
        <v>0</v>
      </c>
      <c r="AK43" s="4">
        <f t="shared" si="8"/>
        <v>0</v>
      </c>
    </row>
    <row r="44" spans="1:37" x14ac:dyDescent="0.25">
      <c r="A44" s="2">
        <v>39</v>
      </c>
      <c r="B44" s="2">
        <f>Annual_Report!B40</f>
        <v>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4">
        <f t="shared" si="5"/>
        <v>0</v>
      </c>
      <c r="AI44" s="4">
        <f t="shared" si="6"/>
        <v>0</v>
      </c>
      <c r="AJ44" s="4">
        <f t="shared" si="7"/>
        <v>0</v>
      </c>
      <c r="AK44" s="4">
        <f t="shared" si="8"/>
        <v>0</v>
      </c>
    </row>
    <row r="45" spans="1:37" x14ac:dyDescent="0.25">
      <c r="A45" s="2">
        <v>40</v>
      </c>
      <c r="B45" s="2">
        <f>Annual_Report!B41</f>
        <v>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4">
        <f t="shared" si="5"/>
        <v>0</v>
      </c>
      <c r="AI45" s="4">
        <f t="shared" si="6"/>
        <v>0</v>
      </c>
      <c r="AJ45" s="4">
        <f t="shared" si="7"/>
        <v>0</v>
      </c>
      <c r="AK45" s="4">
        <f t="shared" si="8"/>
        <v>0</v>
      </c>
    </row>
    <row r="46" spans="1:37" x14ac:dyDescent="0.25">
      <c r="A46" s="2">
        <v>41</v>
      </c>
      <c r="B46" s="2">
        <f>Annual_Report!B42</f>
        <v>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4">
        <f t="shared" si="5"/>
        <v>0</v>
      </c>
      <c r="AI46" s="4">
        <f t="shared" si="6"/>
        <v>0</v>
      </c>
      <c r="AJ46" s="4">
        <f t="shared" si="7"/>
        <v>0</v>
      </c>
      <c r="AK46" s="4">
        <f t="shared" si="8"/>
        <v>0</v>
      </c>
    </row>
    <row r="47" spans="1:37" x14ac:dyDescent="0.25">
      <c r="A47" s="2">
        <v>42</v>
      </c>
      <c r="B47" s="2">
        <f>Annual_Report!B43</f>
        <v>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4">
        <f t="shared" si="5"/>
        <v>0</v>
      </c>
      <c r="AI47" s="4">
        <f t="shared" si="6"/>
        <v>0</v>
      </c>
      <c r="AJ47" s="4">
        <f t="shared" si="7"/>
        <v>0</v>
      </c>
      <c r="AK47" s="4">
        <f t="shared" si="8"/>
        <v>0</v>
      </c>
    </row>
    <row r="48" spans="1:37" x14ac:dyDescent="0.25">
      <c r="A48" s="2">
        <v>43</v>
      </c>
      <c r="B48" s="2">
        <f>Annual_Report!B44</f>
        <v>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4">
        <f t="shared" si="5"/>
        <v>0</v>
      </c>
      <c r="AI48" s="4">
        <f t="shared" si="6"/>
        <v>0</v>
      </c>
      <c r="AJ48" s="4">
        <f t="shared" si="7"/>
        <v>0</v>
      </c>
      <c r="AK48" s="4">
        <f t="shared" si="8"/>
        <v>0</v>
      </c>
    </row>
    <row r="49" spans="1:37" x14ac:dyDescent="0.25">
      <c r="A49" s="2">
        <v>44</v>
      </c>
      <c r="B49" s="2">
        <f>Annual_Report!B45</f>
        <v>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4">
        <f t="shared" si="5"/>
        <v>0</v>
      </c>
      <c r="AI49" s="4">
        <f t="shared" si="6"/>
        <v>0</v>
      </c>
      <c r="AJ49" s="4">
        <f t="shared" si="7"/>
        <v>0</v>
      </c>
      <c r="AK49" s="4">
        <f t="shared" si="8"/>
        <v>0</v>
      </c>
    </row>
    <row r="50" spans="1:37" x14ac:dyDescent="0.25">
      <c r="A50" s="2">
        <v>45</v>
      </c>
      <c r="B50" s="2">
        <f>Annual_Report!B46</f>
        <v>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4">
        <f t="shared" si="5"/>
        <v>0</v>
      </c>
      <c r="AI50" s="4">
        <f t="shared" si="6"/>
        <v>0</v>
      </c>
      <c r="AJ50" s="4">
        <f t="shared" si="7"/>
        <v>0</v>
      </c>
      <c r="AK50" s="4">
        <f t="shared" si="8"/>
        <v>0</v>
      </c>
    </row>
    <row r="51" spans="1:37" x14ac:dyDescent="0.25">
      <c r="A51" s="2">
        <v>46</v>
      </c>
      <c r="B51" s="2">
        <f>Annual_Report!B47</f>
        <v>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4">
        <f t="shared" si="5"/>
        <v>0</v>
      </c>
      <c r="AI51" s="4">
        <f t="shared" si="6"/>
        <v>0</v>
      </c>
      <c r="AJ51" s="4">
        <f t="shared" si="7"/>
        <v>0</v>
      </c>
      <c r="AK51" s="4">
        <f t="shared" si="8"/>
        <v>0</v>
      </c>
    </row>
    <row r="52" spans="1:37" x14ac:dyDescent="0.25">
      <c r="A52" s="2">
        <v>47</v>
      </c>
      <c r="B52" s="2">
        <f>Annual_Report!B48</f>
        <v>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4">
        <f t="shared" si="5"/>
        <v>0</v>
      </c>
      <c r="AI52" s="4">
        <f t="shared" si="6"/>
        <v>0</v>
      </c>
      <c r="AJ52" s="4">
        <f t="shared" si="7"/>
        <v>0</v>
      </c>
      <c r="AK52" s="4">
        <f t="shared" si="8"/>
        <v>0</v>
      </c>
    </row>
    <row r="53" spans="1:37" x14ac:dyDescent="0.25">
      <c r="A53" s="2">
        <v>48</v>
      </c>
      <c r="B53" s="2">
        <f>Annual_Report!B49</f>
        <v>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4">
        <f t="shared" si="5"/>
        <v>0</v>
      </c>
      <c r="AI53" s="4">
        <f t="shared" si="6"/>
        <v>0</v>
      </c>
      <c r="AJ53" s="4">
        <f t="shared" si="7"/>
        <v>0</v>
      </c>
      <c r="AK53" s="4">
        <f t="shared" si="8"/>
        <v>0</v>
      </c>
    </row>
    <row r="54" spans="1:37" x14ac:dyDescent="0.25">
      <c r="A54" s="2">
        <v>49</v>
      </c>
      <c r="B54" s="2">
        <f>Annual_Report!B50</f>
        <v>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4">
        <f t="shared" si="5"/>
        <v>0</v>
      </c>
      <c r="AI54" s="4">
        <f t="shared" si="6"/>
        <v>0</v>
      </c>
      <c r="AJ54" s="4">
        <f t="shared" si="7"/>
        <v>0</v>
      </c>
      <c r="AK54" s="4">
        <f t="shared" si="8"/>
        <v>0</v>
      </c>
    </row>
    <row r="55" spans="1:37" x14ac:dyDescent="0.25">
      <c r="A55" s="2">
        <v>50</v>
      </c>
      <c r="B55" s="2">
        <f>Annual_Report!B51</f>
        <v>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4">
        <f t="shared" si="5"/>
        <v>0</v>
      </c>
      <c r="AI55" s="4">
        <f t="shared" si="6"/>
        <v>0</v>
      </c>
      <c r="AJ55" s="4">
        <f t="shared" si="7"/>
        <v>0</v>
      </c>
      <c r="AK55" s="4">
        <f t="shared" si="8"/>
        <v>0</v>
      </c>
    </row>
    <row r="56" spans="1:37" x14ac:dyDescent="0.25">
      <c r="A56" s="2">
        <v>51</v>
      </c>
      <c r="B56" s="2">
        <f>Annual_Report!B52</f>
        <v>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4">
        <f t="shared" si="5"/>
        <v>0</v>
      </c>
      <c r="AI56" s="4">
        <f t="shared" si="6"/>
        <v>0</v>
      </c>
      <c r="AJ56" s="4">
        <f t="shared" si="7"/>
        <v>0</v>
      </c>
      <c r="AK56" s="4">
        <f t="shared" si="8"/>
        <v>0</v>
      </c>
    </row>
    <row r="57" spans="1:37" x14ac:dyDescent="0.25">
      <c r="A57" s="2">
        <v>52</v>
      </c>
      <c r="B57" s="2">
        <f>Annual_Report!B53</f>
        <v>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4">
        <f t="shared" si="5"/>
        <v>0</v>
      </c>
      <c r="AI57" s="4">
        <f t="shared" si="6"/>
        <v>0</v>
      </c>
      <c r="AJ57" s="4">
        <f t="shared" si="7"/>
        <v>0</v>
      </c>
      <c r="AK57" s="4">
        <f t="shared" si="8"/>
        <v>0</v>
      </c>
    </row>
    <row r="58" spans="1:37" x14ac:dyDescent="0.25">
      <c r="A58" s="2">
        <v>53</v>
      </c>
      <c r="B58" s="2">
        <f>Annual_Report!B54</f>
        <v>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4">
        <f t="shared" si="5"/>
        <v>0</v>
      </c>
      <c r="AI58" s="4">
        <f t="shared" si="6"/>
        <v>0</v>
      </c>
      <c r="AJ58" s="4">
        <f t="shared" si="7"/>
        <v>0</v>
      </c>
      <c r="AK58" s="4">
        <f t="shared" si="8"/>
        <v>0</v>
      </c>
    </row>
    <row r="59" spans="1:37" x14ac:dyDescent="0.25">
      <c r="A59" s="2">
        <v>54</v>
      </c>
      <c r="B59" s="2">
        <f>Annual_Report!B55</f>
        <v>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4">
        <f t="shared" si="5"/>
        <v>0</v>
      </c>
      <c r="AI59" s="4">
        <f t="shared" si="6"/>
        <v>0</v>
      </c>
      <c r="AJ59" s="4">
        <f t="shared" si="7"/>
        <v>0</v>
      </c>
      <c r="AK59" s="4">
        <f t="shared" si="8"/>
        <v>0</v>
      </c>
    </row>
    <row r="60" spans="1:37" x14ac:dyDescent="0.25">
      <c r="A60" s="2">
        <v>55</v>
      </c>
      <c r="B60" s="2">
        <f>Annual_Report!B56</f>
        <v>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4">
        <f t="shared" si="5"/>
        <v>0</v>
      </c>
      <c r="AI60" s="4">
        <f t="shared" si="6"/>
        <v>0</v>
      </c>
      <c r="AJ60" s="4">
        <f t="shared" si="7"/>
        <v>0</v>
      </c>
      <c r="AK60" s="4">
        <f t="shared" si="8"/>
        <v>0</v>
      </c>
    </row>
    <row r="61" spans="1:37" x14ac:dyDescent="0.25">
      <c r="A61" s="2">
        <v>56</v>
      </c>
      <c r="B61" s="2">
        <f>Annual_Report!B57</f>
        <v>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4">
        <f t="shared" si="5"/>
        <v>0</v>
      </c>
      <c r="AI61" s="4">
        <f t="shared" si="6"/>
        <v>0</v>
      </c>
      <c r="AJ61" s="4">
        <f t="shared" si="7"/>
        <v>0</v>
      </c>
      <c r="AK61" s="4">
        <f t="shared" si="8"/>
        <v>0</v>
      </c>
    </row>
    <row r="62" spans="1:37" x14ac:dyDescent="0.25">
      <c r="A62" s="2">
        <v>57</v>
      </c>
      <c r="B62" s="2">
        <f>Annual_Report!B58</f>
        <v>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4">
        <f t="shared" si="5"/>
        <v>0</v>
      </c>
      <c r="AI62" s="4">
        <f t="shared" si="6"/>
        <v>0</v>
      </c>
      <c r="AJ62" s="4">
        <f t="shared" si="7"/>
        <v>0</v>
      </c>
      <c r="AK62" s="4">
        <f t="shared" si="8"/>
        <v>0</v>
      </c>
    </row>
    <row r="63" spans="1:37" x14ac:dyDescent="0.25">
      <c r="A63" s="2">
        <v>58</v>
      </c>
      <c r="B63" s="2">
        <f>Annual_Report!B59</f>
        <v>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4">
        <f t="shared" si="5"/>
        <v>0</v>
      </c>
      <c r="AI63" s="4">
        <f t="shared" si="6"/>
        <v>0</v>
      </c>
      <c r="AJ63" s="4">
        <f t="shared" si="7"/>
        <v>0</v>
      </c>
      <c r="AK63" s="4">
        <f t="shared" si="8"/>
        <v>0</v>
      </c>
    </row>
    <row r="64" spans="1:37" x14ac:dyDescent="0.25">
      <c r="A64" s="2">
        <v>59</v>
      </c>
      <c r="B64" s="2">
        <f>Annual_Report!B60</f>
        <v>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4">
        <f t="shared" si="5"/>
        <v>0</v>
      </c>
      <c r="AI64" s="4">
        <f t="shared" si="6"/>
        <v>0</v>
      </c>
      <c r="AJ64" s="4">
        <f t="shared" si="7"/>
        <v>0</v>
      </c>
      <c r="AK64" s="4">
        <f t="shared" si="8"/>
        <v>0</v>
      </c>
    </row>
    <row r="65" spans="1:37" x14ac:dyDescent="0.25">
      <c r="A65" s="2">
        <v>60</v>
      </c>
      <c r="B65" s="2">
        <f>Annual_Report!B61</f>
        <v>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4">
        <f t="shared" si="5"/>
        <v>0</v>
      </c>
      <c r="AI65" s="4">
        <f t="shared" si="6"/>
        <v>0</v>
      </c>
      <c r="AJ65" s="4">
        <f t="shared" si="7"/>
        <v>0</v>
      </c>
      <c r="AK65" s="4">
        <f t="shared" si="8"/>
        <v>0</v>
      </c>
    </row>
    <row r="66" spans="1:37" x14ac:dyDescent="0.25">
      <c r="A66" s="2">
        <v>61</v>
      </c>
      <c r="B66" s="2">
        <f>Annual_Report!B62</f>
        <v>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4">
        <f t="shared" si="5"/>
        <v>0</v>
      </c>
      <c r="AI66" s="4">
        <f t="shared" si="6"/>
        <v>0</v>
      </c>
      <c r="AJ66" s="4">
        <f t="shared" si="7"/>
        <v>0</v>
      </c>
      <c r="AK66" s="4">
        <f t="shared" si="8"/>
        <v>0</v>
      </c>
    </row>
    <row r="67" spans="1:37" x14ac:dyDescent="0.25">
      <c r="A67" s="2">
        <v>62</v>
      </c>
      <c r="B67" s="2">
        <f>Annual_Report!B63</f>
        <v>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4">
        <f t="shared" si="5"/>
        <v>0</v>
      </c>
      <c r="AI67" s="4">
        <f t="shared" si="6"/>
        <v>0</v>
      </c>
      <c r="AJ67" s="4">
        <f t="shared" si="7"/>
        <v>0</v>
      </c>
      <c r="AK67" s="4">
        <f t="shared" si="8"/>
        <v>0</v>
      </c>
    </row>
    <row r="68" spans="1:37" x14ac:dyDescent="0.25">
      <c r="A68" s="2">
        <v>63</v>
      </c>
      <c r="B68" s="2">
        <f>Annual_Report!B64</f>
        <v>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4">
        <f t="shared" si="5"/>
        <v>0</v>
      </c>
      <c r="AI68" s="4">
        <f t="shared" si="6"/>
        <v>0</v>
      </c>
      <c r="AJ68" s="4">
        <f t="shared" si="7"/>
        <v>0</v>
      </c>
      <c r="AK68" s="4">
        <f t="shared" si="8"/>
        <v>0</v>
      </c>
    </row>
    <row r="69" spans="1:37" x14ac:dyDescent="0.25">
      <c r="A69" s="2">
        <v>64</v>
      </c>
      <c r="B69" s="2">
        <f>Annual_Report!B65</f>
        <v>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4">
        <f t="shared" si="5"/>
        <v>0</v>
      </c>
      <c r="AI69" s="4">
        <f t="shared" si="6"/>
        <v>0</v>
      </c>
      <c r="AJ69" s="4">
        <f t="shared" si="7"/>
        <v>0</v>
      </c>
      <c r="AK69" s="4">
        <f t="shared" si="8"/>
        <v>0</v>
      </c>
    </row>
    <row r="70" spans="1:37" x14ac:dyDescent="0.25">
      <c r="A70" s="2">
        <v>65</v>
      </c>
      <c r="B70" s="2">
        <f>Annual_Report!B66</f>
        <v>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4">
        <f t="shared" ref="AH70:AH105" si="9">COUNTIF($C70:$AG70, "ح")</f>
        <v>0</v>
      </c>
      <c r="AI70" s="4">
        <f t="shared" ref="AI70:AI105" si="10">COUNTIF($C70:$AG70, "غ")</f>
        <v>0</v>
      </c>
      <c r="AJ70" s="4">
        <f t="shared" ref="AJ70:AJ105" si="11">COUNTIF($C70:$AG70, "ج")</f>
        <v>0</v>
      </c>
      <c r="AK70" s="4">
        <f t="shared" ref="AK70:AK105" si="12">COUNTIF($C70:$AG70, "م")</f>
        <v>0</v>
      </c>
    </row>
    <row r="71" spans="1:37" x14ac:dyDescent="0.25">
      <c r="A71" s="2">
        <v>66</v>
      </c>
      <c r="B71" s="2">
        <f>Annual_Report!B67</f>
        <v>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4">
        <f t="shared" si="9"/>
        <v>0</v>
      </c>
      <c r="AI71" s="4">
        <f t="shared" si="10"/>
        <v>0</v>
      </c>
      <c r="AJ71" s="4">
        <f t="shared" si="11"/>
        <v>0</v>
      </c>
      <c r="AK71" s="4">
        <f t="shared" si="12"/>
        <v>0</v>
      </c>
    </row>
    <row r="72" spans="1:37" x14ac:dyDescent="0.25">
      <c r="A72" s="2">
        <v>67</v>
      </c>
      <c r="B72" s="2">
        <f>Annual_Report!B68</f>
        <v>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4">
        <f t="shared" si="9"/>
        <v>0</v>
      </c>
      <c r="AI72" s="4">
        <f t="shared" si="10"/>
        <v>0</v>
      </c>
      <c r="AJ72" s="4">
        <f t="shared" si="11"/>
        <v>0</v>
      </c>
      <c r="AK72" s="4">
        <f t="shared" si="12"/>
        <v>0</v>
      </c>
    </row>
    <row r="73" spans="1:37" x14ac:dyDescent="0.25">
      <c r="A73" s="2">
        <v>68</v>
      </c>
      <c r="B73" s="2">
        <f>Annual_Report!B69</f>
        <v>0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4">
        <f t="shared" si="9"/>
        <v>0</v>
      </c>
      <c r="AI73" s="4">
        <f t="shared" si="10"/>
        <v>0</v>
      </c>
      <c r="AJ73" s="4">
        <f t="shared" si="11"/>
        <v>0</v>
      </c>
      <c r="AK73" s="4">
        <f t="shared" si="12"/>
        <v>0</v>
      </c>
    </row>
    <row r="74" spans="1:37" x14ac:dyDescent="0.25">
      <c r="A74" s="2">
        <v>69</v>
      </c>
      <c r="B74" s="2">
        <f>Annual_Report!B70</f>
        <v>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4">
        <f t="shared" si="9"/>
        <v>0</v>
      </c>
      <c r="AI74" s="4">
        <f t="shared" si="10"/>
        <v>0</v>
      </c>
      <c r="AJ74" s="4">
        <f t="shared" si="11"/>
        <v>0</v>
      </c>
      <c r="AK74" s="4">
        <f t="shared" si="12"/>
        <v>0</v>
      </c>
    </row>
    <row r="75" spans="1:37" x14ac:dyDescent="0.25">
      <c r="A75" s="2">
        <v>70</v>
      </c>
      <c r="B75" s="2">
        <f>Annual_Report!B71</f>
        <v>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4">
        <f t="shared" si="9"/>
        <v>0</v>
      </c>
      <c r="AI75" s="4">
        <f t="shared" si="10"/>
        <v>0</v>
      </c>
      <c r="AJ75" s="4">
        <f t="shared" si="11"/>
        <v>0</v>
      </c>
      <c r="AK75" s="4">
        <f t="shared" si="12"/>
        <v>0</v>
      </c>
    </row>
    <row r="76" spans="1:37" x14ac:dyDescent="0.25">
      <c r="A76" s="2">
        <v>71</v>
      </c>
      <c r="B76" s="2">
        <f>Annual_Report!B72</f>
        <v>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4">
        <f t="shared" si="9"/>
        <v>0</v>
      </c>
      <c r="AI76" s="4">
        <f t="shared" si="10"/>
        <v>0</v>
      </c>
      <c r="AJ76" s="4">
        <f t="shared" si="11"/>
        <v>0</v>
      </c>
      <c r="AK76" s="4">
        <f t="shared" si="12"/>
        <v>0</v>
      </c>
    </row>
    <row r="77" spans="1:37" x14ac:dyDescent="0.25">
      <c r="A77" s="2">
        <v>72</v>
      </c>
      <c r="B77" s="2">
        <f>Annual_Report!B73</f>
        <v>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4">
        <f t="shared" si="9"/>
        <v>0</v>
      </c>
      <c r="AI77" s="4">
        <f t="shared" si="10"/>
        <v>0</v>
      </c>
      <c r="AJ77" s="4">
        <f t="shared" si="11"/>
        <v>0</v>
      </c>
      <c r="AK77" s="4">
        <f t="shared" si="12"/>
        <v>0</v>
      </c>
    </row>
    <row r="78" spans="1:37" x14ac:dyDescent="0.25">
      <c r="A78" s="2">
        <v>73</v>
      </c>
      <c r="B78" s="2">
        <f>Annual_Report!B74</f>
        <v>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4">
        <f t="shared" si="9"/>
        <v>0</v>
      </c>
      <c r="AI78" s="4">
        <f t="shared" si="10"/>
        <v>0</v>
      </c>
      <c r="AJ78" s="4">
        <f t="shared" si="11"/>
        <v>0</v>
      </c>
      <c r="AK78" s="4">
        <f t="shared" si="12"/>
        <v>0</v>
      </c>
    </row>
    <row r="79" spans="1:37" x14ac:dyDescent="0.25">
      <c r="A79" s="2">
        <v>74</v>
      </c>
      <c r="B79" s="2">
        <f>Annual_Report!B75</f>
        <v>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4">
        <f t="shared" si="9"/>
        <v>0</v>
      </c>
      <c r="AI79" s="4">
        <f t="shared" si="10"/>
        <v>0</v>
      </c>
      <c r="AJ79" s="4">
        <f t="shared" si="11"/>
        <v>0</v>
      </c>
      <c r="AK79" s="4">
        <f t="shared" si="12"/>
        <v>0</v>
      </c>
    </row>
    <row r="80" spans="1:37" x14ac:dyDescent="0.25">
      <c r="A80" s="2">
        <v>75</v>
      </c>
      <c r="B80" s="2">
        <f>Annual_Report!B76</f>
        <v>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4">
        <f t="shared" si="9"/>
        <v>0</v>
      </c>
      <c r="AI80" s="4">
        <f t="shared" si="10"/>
        <v>0</v>
      </c>
      <c r="AJ80" s="4">
        <f t="shared" si="11"/>
        <v>0</v>
      </c>
      <c r="AK80" s="4">
        <f t="shared" si="12"/>
        <v>0</v>
      </c>
    </row>
    <row r="81" spans="1:37" x14ac:dyDescent="0.25">
      <c r="A81" s="2">
        <v>76</v>
      </c>
      <c r="B81" s="2">
        <f>Annual_Report!B77</f>
        <v>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4">
        <f t="shared" si="9"/>
        <v>0</v>
      </c>
      <c r="AI81" s="4">
        <f t="shared" si="10"/>
        <v>0</v>
      </c>
      <c r="AJ81" s="4">
        <f t="shared" si="11"/>
        <v>0</v>
      </c>
      <c r="AK81" s="4">
        <f t="shared" si="12"/>
        <v>0</v>
      </c>
    </row>
    <row r="82" spans="1:37" x14ac:dyDescent="0.25">
      <c r="A82" s="2">
        <v>77</v>
      </c>
      <c r="B82" s="2">
        <f>Annual_Report!B78</f>
        <v>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4">
        <f t="shared" si="9"/>
        <v>0</v>
      </c>
      <c r="AI82" s="4">
        <f t="shared" si="10"/>
        <v>0</v>
      </c>
      <c r="AJ82" s="4">
        <f t="shared" si="11"/>
        <v>0</v>
      </c>
      <c r="AK82" s="4">
        <f t="shared" si="12"/>
        <v>0</v>
      </c>
    </row>
    <row r="83" spans="1:37" x14ac:dyDescent="0.25">
      <c r="A83" s="2">
        <v>78</v>
      </c>
      <c r="B83" s="2">
        <f>Annual_Report!B79</f>
        <v>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4">
        <f t="shared" si="9"/>
        <v>0</v>
      </c>
      <c r="AI83" s="4">
        <f t="shared" si="10"/>
        <v>0</v>
      </c>
      <c r="AJ83" s="4">
        <f t="shared" si="11"/>
        <v>0</v>
      </c>
      <c r="AK83" s="4">
        <f t="shared" si="12"/>
        <v>0</v>
      </c>
    </row>
    <row r="84" spans="1:37" x14ac:dyDescent="0.25">
      <c r="A84" s="2">
        <v>79</v>
      </c>
      <c r="B84" s="2">
        <f>Annual_Report!B80</f>
        <v>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4">
        <f t="shared" si="9"/>
        <v>0</v>
      </c>
      <c r="AI84" s="4">
        <f t="shared" si="10"/>
        <v>0</v>
      </c>
      <c r="AJ84" s="4">
        <f t="shared" si="11"/>
        <v>0</v>
      </c>
      <c r="AK84" s="4">
        <f t="shared" si="12"/>
        <v>0</v>
      </c>
    </row>
    <row r="85" spans="1:37" x14ac:dyDescent="0.25">
      <c r="A85" s="2">
        <v>80</v>
      </c>
      <c r="B85" s="2">
        <f>Annual_Report!B81</f>
        <v>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4">
        <f t="shared" si="9"/>
        <v>0</v>
      </c>
      <c r="AI85" s="4">
        <f t="shared" si="10"/>
        <v>0</v>
      </c>
      <c r="AJ85" s="4">
        <f t="shared" si="11"/>
        <v>0</v>
      </c>
      <c r="AK85" s="4">
        <f t="shared" si="12"/>
        <v>0</v>
      </c>
    </row>
    <row r="86" spans="1:37" x14ac:dyDescent="0.25">
      <c r="A86" s="2">
        <v>81</v>
      </c>
      <c r="B86" s="2">
        <f>Annual_Report!B82</f>
        <v>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4">
        <f t="shared" si="9"/>
        <v>0</v>
      </c>
      <c r="AI86" s="4">
        <f t="shared" si="10"/>
        <v>0</v>
      </c>
      <c r="AJ86" s="4">
        <f t="shared" si="11"/>
        <v>0</v>
      </c>
      <c r="AK86" s="4">
        <f t="shared" si="12"/>
        <v>0</v>
      </c>
    </row>
    <row r="87" spans="1:37" x14ac:dyDescent="0.25">
      <c r="A87" s="2">
        <v>82</v>
      </c>
      <c r="B87" s="2">
        <f>Annual_Report!B83</f>
        <v>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4">
        <f t="shared" si="9"/>
        <v>0</v>
      </c>
      <c r="AI87" s="4">
        <f t="shared" si="10"/>
        <v>0</v>
      </c>
      <c r="AJ87" s="4">
        <f t="shared" si="11"/>
        <v>0</v>
      </c>
      <c r="AK87" s="4">
        <f t="shared" si="12"/>
        <v>0</v>
      </c>
    </row>
    <row r="88" spans="1:37" x14ac:dyDescent="0.25">
      <c r="A88" s="2">
        <v>83</v>
      </c>
      <c r="B88" s="2">
        <f>Annual_Report!B84</f>
        <v>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4">
        <f t="shared" si="9"/>
        <v>0</v>
      </c>
      <c r="AI88" s="4">
        <f t="shared" si="10"/>
        <v>0</v>
      </c>
      <c r="AJ88" s="4">
        <f t="shared" si="11"/>
        <v>0</v>
      </c>
      <c r="AK88" s="4">
        <f t="shared" si="12"/>
        <v>0</v>
      </c>
    </row>
    <row r="89" spans="1:37" x14ac:dyDescent="0.25">
      <c r="A89" s="2">
        <v>84</v>
      </c>
      <c r="B89" s="2">
        <f>Annual_Report!B85</f>
        <v>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4">
        <f t="shared" si="9"/>
        <v>0</v>
      </c>
      <c r="AI89" s="4">
        <f t="shared" si="10"/>
        <v>0</v>
      </c>
      <c r="AJ89" s="4">
        <f t="shared" si="11"/>
        <v>0</v>
      </c>
      <c r="AK89" s="4">
        <f t="shared" si="12"/>
        <v>0</v>
      </c>
    </row>
    <row r="90" spans="1:37" x14ac:dyDescent="0.25">
      <c r="A90" s="2">
        <v>85</v>
      </c>
      <c r="B90" s="2">
        <f>Annual_Report!B86</f>
        <v>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4">
        <f t="shared" si="9"/>
        <v>0</v>
      </c>
      <c r="AI90" s="4">
        <f t="shared" si="10"/>
        <v>0</v>
      </c>
      <c r="AJ90" s="4">
        <f t="shared" si="11"/>
        <v>0</v>
      </c>
      <c r="AK90" s="4">
        <f t="shared" si="12"/>
        <v>0</v>
      </c>
    </row>
    <row r="91" spans="1:37" x14ac:dyDescent="0.25">
      <c r="A91" s="2">
        <v>86</v>
      </c>
      <c r="B91" s="2">
        <f>Annual_Report!B87</f>
        <v>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4">
        <f t="shared" si="9"/>
        <v>0</v>
      </c>
      <c r="AI91" s="4">
        <f t="shared" si="10"/>
        <v>0</v>
      </c>
      <c r="AJ91" s="4">
        <f t="shared" si="11"/>
        <v>0</v>
      </c>
      <c r="AK91" s="4">
        <f t="shared" si="12"/>
        <v>0</v>
      </c>
    </row>
    <row r="92" spans="1:37" x14ac:dyDescent="0.25">
      <c r="A92" s="2">
        <v>87</v>
      </c>
      <c r="B92" s="2">
        <f>Annual_Report!B88</f>
        <v>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4">
        <f t="shared" si="9"/>
        <v>0</v>
      </c>
      <c r="AI92" s="4">
        <f t="shared" si="10"/>
        <v>0</v>
      </c>
      <c r="AJ92" s="4">
        <f t="shared" si="11"/>
        <v>0</v>
      </c>
      <c r="AK92" s="4">
        <f t="shared" si="12"/>
        <v>0</v>
      </c>
    </row>
    <row r="93" spans="1:37" x14ac:dyDescent="0.25">
      <c r="A93" s="2">
        <v>88</v>
      </c>
      <c r="B93" s="2">
        <f>Annual_Report!B89</f>
        <v>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4">
        <f t="shared" si="9"/>
        <v>0</v>
      </c>
      <c r="AI93" s="4">
        <f t="shared" si="10"/>
        <v>0</v>
      </c>
      <c r="AJ93" s="4">
        <f t="shared" si="11"/>
        <v>0</v>
      </c>
      <c r="AK93" s="4">
        <f t="shared" si="12"/>
        <v>0</v>
      </c>
    </row>
    <row r="94" spans="1:37" x14ac:dyDescent="0.25">
      <c r="A94" s="2">
        <v>89</v>
      </c>
      <c r="B94" s="2">
        <f>Annual_Report!B90</f>
        <v>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4">
        <f t="shared" si="9"/>
        <v>0</v>
      </c>
      <c r="AI94" s="4">
        <f t="shared" si="10"/>
        <v>0</v>
      </c>
      <c r="AJ94" s="4">
        <f t="shared" si="11"/>
        <v>0</v>
      </c>
      <c r="AK94" s="4">
        <f t="shared" si="12"/>
        <v>0</v>
      </c>
    </row>
    <row r="95" spans="1:37" x14ac:dyDescent="0.25">
      <c r="A95" s="2">
        <v>90</v>
      </c>
      <c r="B95" s="2">
        <f>Annual_Report!B91</f>
        <v>0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4">
        <f t="shared" si="9"/>
        <v>0</v>
      </c>
      <c r="AI95" s="4">
        <f t="shared" si="10"/>
        <v>0</v>
      </c>
      <c r="AJ95" s="4">
        <f t="shared" si="11"/>
        <v>0</v>
      </c>
      <c r="AK95" s="4">
        <f t="shared" si="12"/>
        <v>0</v>
      </c>
    </row>
    <row r="96" spans="1:37" x14ac:dyDescent="0.25">
      <c r="A96" s="2">
        <v>91</v>
      </c>
      <c r="B96" s="2">
        <f>Annual_Report!B92</f>
        <v>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4">
        <f t="shared" si="9"/>
        <v>0</v>
      </c>
      <c r="AI96" s="4">
        <f t="shared" si="10"/>
        <v>0</v>
      </c>
      <c r="AJ96" s="4">
        <f t="shared" si="11"/>
        <v>0</v>
      </c>
      <c r="AK96" s="4">
        <f t="shared" si="12"/>
        <v>0</v>
      </c>
    </row>
    <row r="97" spans="1:37" x14ac:dyDescent="0.25">
      <c r="A97" s="2">
        <v>92</v>
      </c>
      <c r="B97" s="2">
        <f>Annual_Report!B93</f>
        <v>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4">
        <f t="shared" si="9"/>
        <v>0</v>
      </c>
      <c r="AI97" s="4">
        <f t="shared" si="10"/>
        <v>0</v>
      </c>
      <c r="AJ97" s="4">
        <f t="shared" si="11"/>
        <v>0</v>
      </c>
      <c r="AK97" s="4">
        <f t="shared" si="12"/>
        <v>0</v>
      </c>
    </row>
    <row r="98" spans="1:37" x14ac:dyDescent="0.25">
      <c r="A98" s="2">
        <v>93</v>
      </c>
      <c r="B98" s="2">
        <f>Annual_Report!B94</f>
        <v>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4">
        <f t="shared" si="9"/>
        <v>0</v>
      </c>
      <c r="AI98" s="4">
        <f t="shared" si="10"/>
        <v>0</v>
      </c>
      <c r="AJ98" s="4">
        <f t="shared" si="11"/>
        <v>0</v>
      </c>
      <c r="AK98" s="4">
        <f t="shared" si="12"/>
        <v>0</v>
      </c>
    </row>
    <row r="99" spans="1:37" x14ac:dyDescent="0.25">
      <c r="A99" s="2">
        <v>94</v>
      </c>
      <c r="B99" s="2">
        <f>Annual_Report!B95</f>
        <v>0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4">
        <f t="shared" si="9"/>
        <v>0</v>
      </c>
      <c r="AI99" s="4">
        <f t="shared" si="10"/>
        <v>0</v>
      </c>
      <c r="AJ99" s="4">
        <f t="shared" si="11"/>
        <v>0</v>
      </c>
      <c r="AK99" s="4">
        <f t="shared" si="12"/>
        <v>0</v>
      </c>
    </row>
    <row r="100" spans="1:37" x14ac:dyDescent="0.25">
      <c r="A100" s="2">
        <v>95</v>
      </c>
      <c r="B100" s="2">
        <f>Annual_Report!B96</f>
        <v>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4">
        <f t="shared" si="9"/>
        <v>0</v>
      </c>
      <c r="AI100" s="4">
        <f t="shared" si="10"/>
        <v>0</v>
      </c>
      <c r="AJ100" s="4">
        <f t="shared" si="11"/>
        <v>0</v>
      </c>
      <c r="AK100" s="4">
        <f t="shared" si="12"/>
        <v>0</v>
      </c>
    </row>
    <row r="101" spans="1:37" x14ac:dyDescent="0.25">
      <c r="A101" s="2">
        <v>96</v>
      </c>
      <c r="B101" s="2">
        <f>Annual_Report!B97</f>
        <v>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4">
        <f t="shared" si="9"/>
        <v>0</v>
      </c>
      <c r="AI101" s="4">
        <f t="shared" si="10"/>
        <v>0</v>
      </c>
      <c r="AJ101" s="4">
        <f t="shared" si="11"/>
        <v>0</v>
      </c>
      <c r="AK101" s="4">
        <f t="shared" si="12"/>
        <v>0</v>
      </c>
    </row>
    <row r="102" spans="1:37" x14ac:dyDescent="0.25">
      <c r="A102" s="2">
        <v>97</v>
      </c>
      <c r="B102" s="2">
        <f>Annual_Report!B98</f>
        <v>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4">
        <f t="shared" si="9"/>
        <v>0</v>
      </c>
      <c r="AI102" s="4">
        <f t="shared" si="10"/>
        <v>0</v>
      </c>
      <c r="AJ102" s="4">
        <f t="shared" si="11"/>
        <v>0</v>
      </c>
      <c r="AK102" s="4">
        <f t="shared" si="12"/>
        <v>0</v>
      </c>
    </row>
    <row r="103" spans="1:37" x14ac:dyDescent="0.25">
      <c r="A103" s="2">
        <v>98</v>
      </c>
      <c r="B103" s="2">
        <f>Annual_Report!B99</f>
        <v>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4">
        <f t="shared" si="9"/>
        <v>0</v>
      </c>
      <c r="AI103" s="4">
        <f t="shared" si="10"/>
        <v>0</v>
      </c>
      <c r="AJ103" s="4">
        <f t="shared" si="11"/>
        <v>0</v>
      </c>
      <c r="AK103" s="4">
        <f t="shared" si="12"/>
        <v>0</v>
      </c>
    </row>
    <row r="104" spans="1:37" x14ac:dyDescent="0.25">
      <c r="A104" s="2">
        <v>99</v>
      </c>
      <c r="B104" s="2">
        <f>Annual_Report!B100</f>
        <v>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4">
        <f t="shared" si="9"/>
        <v>0</v>
      </c>
      <c r="AI104" s="4">
        <f t="shared" si="10"/>
        <v>0</v>
      </c>
      <c r="AJ104" s="4">
        <f t="shared" si="11"/>
        <v>0</v>
      </c>
      <c r="AK104" s="4">
        <f t="shared" si="12"/>
        <v>0</v>
      </c>
    </row>
    <row r="105" spans="1:37" x14ac:dyDescent="0.25">
      <c r="A105" s="2">
        <v>100</v>
      </c>
      <c r="B105" s="2">
        <f>Annual_Report!B101</f>
        <v>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4">
        <f t="shared" si="9"/>
        <v>0</v>
      </c>
      <c r="AI105" s="4">
        <f t="shared" si="10"/>
        <v>0</v>
      </c>
      <c r="AJ105" s="4">
        <f t="shared" si="11"/>
        <v>0</v>
      </c>
      <c r="AK105" s="4">
        <f t="shared" si="12"/>
        <v>0</v>
      </c>
    </row>
  </sheetData>
  <conditionalFormatting sqref="C6:AG105">
    <cfRule type="cellIs" dxfId="11" priority="1" stopIfTrue="1" operator="equal">
      <formula>"ح"</formula>
    </cfRule>
    <cfRule type="cellIs" dxfId="10" priority="2" stopIfTrue="1" operator="equal">
      <formula>"غ"</formula>
    </cfRule>
    <cfRule type="cellIs" dxfId="9" priority="3" stopIfTrue="1" operator="equal">
      <formula>"ج"</formula>
    </cfRule>
    <cfRule type="cellIs" dxfId="8" priority="4" stopIfTrue="1" operator="equal">
      <formula>"م"</formula>
    </cfRule>
    <cfRule type="cellIs" dxfId="7" priority="5" stopIfTrue="1" operator="equal">
      <formula>"ج"</formula>
    </cfRule>
    <cfRule type="cellIs" dxfId="6" priority="6" stopIfTrue="1" operator="equal">
      <formula>"م"</formula>
    </cfRule>
  </conditionalFormatting>
  <dataValidations count="1">
    <dataValidation type="list" allowBlank="1" showErrorMessage="1" errorTitle="خطأ في الإدخال" error="يرجى استخدام الحروف الصحيحة: ح - غ - ج - م" sqref="C6:AG105" xr:uid="{F2E81DB8-A146-4860-B161-1B4FC7E387C5}">
      <formula1>"ح,غ,ج,م"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5096B-274C-44EA-B4E4-A4D4BB9EB092}">
  <sheetPr codeName="Sheet92"/>
  <dimension ref="A1:AK105"/>
  <sheetViews>
    <sheetView rightToLeft="1" workbookViewId="0"/>
  </sheetViews>
  <sheetFormatPr defaultRowHeight="15" x14ac:dyDescent="0.25"/>
  <cols>
    <col min="1" max="1" width="4.7109375" customWidth="1"/>
    <col min="2" max="2" width="25.7109375" customWidth="1"/>
    <col min="3" max="33" width="4.7109375" customWidth="1"/>
    <col min="34" max="34" width="5.85546875" bestFit="1" customWidth="1"/>
    <col min="35" max="35" width="4.7109375" bestFit="1" customWidth="1"/>
    <col min="36" max="36" width="4.5703125" bestFit="1" customWidth="1"/>
    <col min="37" max="37" width="6" bestFit="1" customWidth="1"/>
  </cols>
  <sheetData>
    <row r="1" spans="1:37" x14ac:dyDescent="0.25">
      <c r="A1" s="6"/>
      <c r="B1" s="6"/>
      <c r="C1" s="5" t="s">
        <v>9</v>
      </c>
      <c r="D1" s="5" t="s">
        <v>0</v>
      </c>
      <c r="E1" s="5" t="s">
        <v>1</v>
      </c>
      <c r="F1" s="5" t="s">
        <v>10</v>
      </c>
      <c r="G1" s="5" t="s">
        <v>11</v>
      </c>
    </row>
    <row r="2" spans="1:37" x14ac:dyDescent="0.25">
      <c r="A2" s="6"/>
      <c r="B2" s="6"/>
      <c r="C2" s="5" t="s">
        <v>12</v>
      </c>
      <c r="D2" s="5" t="s">
        <v>6</v>
      </c>
      <c r="E2" s="5" t="s">
        <v>7</v>
      </c>
      <c r="F2" s="5" t="s">
        <v>8</v>
      </c>
      <c r="G2" s="5" t="s">
        <v>2</v>
      </c>
    </row>
    <row r="4" spans="1:37" ht="65.099999999999994" customHeight="1" x14ac:dyDescent="0.25">
      <c r="A4" s="2" t="s">
        <v>2</v>
      </c>
      <c r="B4" s="2" t="s">
        <v>3</v>
      </c>
      <c r="C4" s="1" t="str">
        <f>CHOOSE(WEEKDAY(C5), "الأحد","الاثنين","الثلاثاء","الأربعاء","الخميس","الجمعة","السبت")</f>
        <v>الثلاثاء</v>
      </c>
      <c r="D4" s="1" t="str">
        <f t="shared" ref="D4:AG4" si="0">CHOOSE(WEEKDAY(D5), "الأحد","الاثنين","الثلاثاء","الأربعاء","الخميس","الجمعة","السبت")</f>
        <v>الأربعاء</v>
      </c>
      <c r="E4" s="1" t="str">
        <f t="shared" si="0"/>
        <v>الخميس</v>
      </c>
      <c r="F4" s="1" t="str">
        <f t="shared" si="0"/>
        <v>الجمعة</v>
      </c>
      <c r="G4" s="1" t="str">
        <f t="shared" si="0"/>
        <v>السبت</v>
      </c>
      <c r="H4" s="1" t="str">
        <f t="shared" si="0"/>
        <v>الأحد</v>
      </c>
      <c r="I4" s="1" t="str">
        <f t="shared" si="0"/>
        <v>الاثنين</v>
      </c>
      <c r="J4" s="1" t="str">
        <f t="shared" si="0"/>
        <v>الثلاثاء</v>
      </c>
      <c r="K4" s="1" t="str">
        <f t="shared" si="0"/>
        <v>الأربعاء</v>
      </c>
      <c r="L4" s="1" t="str">
        <f t="shared" si="0"/>
        <v>الخميس</v>
      </c>
      <c r="M4" s="1" t="str">
        <f t="shared" si="0"/>
        <v>الجمعة</v>
      </c>
      <c r="N4" s="1" t="str">
        <f t="shared" si="0"/>
        <v>السبت</v>
      </c>
      <c r="O4" s="1" t="str">
        <f t="shared" si="0"/>
        <v>الأحد</v>
      </c>
      <c r="P4" s="1" t="str">
        <f t="shared" si="0"/>
        <v>الاثنين</v>
      </c>
      <c r="Q4" s="1" t="str">
        <f t="shared" si="0"/>
        <v>الثلاثاء</v>
      </c>
      <c r="R4" s="1" t="str">
        <f t="shared" si="0"/>
        <v>الأربعاء</v>
      </c>
      <c r="S4" s="1" t="str">
        <f t="shared" si="0"/>
        <v>الخميس</v>
      </c>
      <c r="T4" s="1" t="str">
        <f t="shared" si="0"/>
        <v>الجمعة</v>
      </c>
      <c r="U4" s="1" t="str">
        <f t="shared" si="0"/>
        <v>السبت</v>
      </c>
      <c r="V4" s="1" t="str">
        <f t="shared" si="0"/>
        <v>الأحد</v>
      </c>
      <c r="W4" s="1" t="str">
        <f t="shared" si="0"/>
        <v>الاثنين</v>
      </c>
      <c r="X4" s="1" t="str">
        <f t="shared" si="0"/>
        <v>الثلاثاء</v>
      </c>
      <c r="Y4" s="1" t="str">
        <f t="shared" si="0"/>
        <v>الأربعاء</v>
      </c>
      <c r="Z4" s="1" t="str">
        <f t="shared" si="0"/>
        <v>الخميس</v>
      </c>
      <c r="AA4" s="1" t="str">
        <f t="shared" si="0"/>
        <v>الجمعة</v>
      </c>
      <c r="AB4" s="1" t="str">
        <f t="shared" si="0"/>
        <v>السبت</v>
      </c>
      <c r="AC4" s="1" t="str">
        <f t="shared" si="0"/>
        <v>الأحد</v>
      </c>
      <c r="AD4" s="1" t="str">
        <f t="shared" si="0"/>
        <v>الاثنين</v>
      </c>
      <c r="AE4" s="1" t="str">
        <f t="shared" si="0"/>
        <v>الثلاثاء</v>
      </c>
      <c r="AF4" s="1" t="str">
        <f t="shared" si="0"/>
        <v>الأربعاء</v>
      </c>
      <c r="AG4" s="1" t="str">
        <f t="shared" si="0"/>
        <v>الخميس</v>
      </c>
      <c r="AH4" s="9" t="s">
        <v>0</v>
      </c>
      <c r="AI4" s="9" t="s">
        <v>1</v>
      </c>
      <c r="AJ4" s="9" t="s">
        <v>10</v>
      </c>
      <c r="AK4" s="9" t="s">
        <v>11</v>
      </c>
    </row>
    <row r="5" spans="1:37" x14ac:dyDescent="0.25">
      <c r="A5" s="2"/>
      <c r="B5" s="2"/>
      <c r="C5" s="3" cm="1">
        <f t="array" ref="C5:AG5">_xlfn.SEQUENCE(1, DAY(EOMONTH(DATE(2026,12,1),0)), DATE(2026,12,1))</f>
        <v>46357</v>
      </c>
      <c r="D5" s="3">
        <v>46358</v>
      </c>
      <c r="E5" s="3">
        <v>46359</v>
      </c>
      <c r="F5" s="3">
        <v>46360</v>
      </c>
      <c r="G5" s="3">
        <v>46361</v>
      </c>
      <c r="H5" s="3">
        <v>46362</v>
      </c>
      <c r="I5" s="3">
        <v>46363</v>
      </c>
      <c r="J5" s="3">
        <v>46364</v>
      </c>
      <c r="K5" s="3">
        <v>46365</v>
      </c>
      <c r="L5" s="3">
        <v>46366</v>
      </c>
      <c r="M5" s="3">
        <v>46367</v>
      </c>
      <c r="N5" s="3">
        <v>46368</v>
      </c>
      <c r="O5" s="3">
        <v>46369</v>
      </c>
      <c r="P5" s="3">
        <v>46370</v>
      </c>
      <c r="Q5" s="3">
        <v>46371</v>
      </c>
      <c r="R5" s="3">
        <v>46372</v>
      </c>
      <c r="S5" s="3">
        <v>46373</v>
      </c>
      <c r="T5" s="3">
        <v>46374</v>
      </c>
      <c r="U5" s="3">
        <v>46375</v>
      </c>
      <c r="V5" s="3">
        <v>46376</v>
      </c>
      <c r="W5" s="3">
        <v>46377</v>
      </c>
      <c r="X5" s="3">
        <v>46378</v>
      </c>
      <c r="Y5" s="3">
        <v>46379</v>
      </c>
      <c r="Z5" s="3">
        <v>46380</v>
      </c>
      <c r="AA5" s="3">
        <v>46381</v>
      </c>
      <c r="AB5" s="3">
        <v>46382</v>
      </c>
      <c r="AC5" s="3">
        <v>46383</v>
      </c>
      <c r="AD5" s="3">
        <v>46384</v>
      </c>
      <c r="AE5" s="3">
        <v>46385</v>
      </c>
      <c r="AF5" s="3">
        <v>46386</v>
      </c>
      <c r="AG5" s="3">
        <v>46387</v>
      </c>
      <c r="AH5" s="4"/>
      <c r="AI5" s="4"/>
      <c r="AJ5" s="4"/>
      <c r="AK5" s="4"/>
    </row>
    <row r="6" spans="1:37" x14ac:dyDescent="0.25">
      <c r="A6" s="2">
        <v>1</v>
      </c>
      <c r="B6" s="2">
        <f>Annual_Report!B2</f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4">
        <f t="shared" ref="AH6:AH37" si="1">COUNTIF($C6:$AG6, "ح")</f>
        <v>0</v>
      </c>
      <c r="AI6" s="4">
        <f t="shared" ref="AI6:AI37" si="2">COUNTIF($C6:$AG6, "غ")</f>
        <v>0</v>
      </c>
      <c r="AJ6" s="4">
        <f t="shared" ref="AJ6:AJ37" si="3">COUNTIF($C6:$AG6, "ج")</f>
        <v>0</v>
      </c>
      <c r="AK6" s="4">
        <f t="shared" ref="AK6:AK37" si="4">COUNTIF($C6:$AG6, "م")</f>
        <v>0</v>
      </c>
    </row>
    <row r="7" spans="1:37" x14ac:dyDescent="0.25">
      <c r="A7" s="2">
        <v>2</v>
      </c>
      <c r="B7" s="2">
        <f>Annual_Report!B3</f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4">
        <f t="shared" si="1"/>
        <v>0</v>
      </c>
      <c r="AI7" s="4">
        <f t="shared" si="2"/>
        <v>0</v>
      </c>
      <c r="AJ7" s="4">
        <f t="shared" si="3"/>
        <v>0</v>
      </c>
      <c r="AK7" s="4">
        <f t="shared" si="4"/>
        <v>0</v>
      </c>
    </row>
    <row r="8" spans="1:37" x14ac:dyDescent="0.25">
      <c r="A8" s="2">
        <v>3</v>
      </c>
      <c r="B8" s="2">
        <f>Annual_Report!B4</f>
        <v>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4">
        <f t="shared" si="1"/>
        <v>0</v>
      </c>
      <c r="AI8" s="4">
        <f t="shared" si="2"/>
        <v>0</v>
      </c>
      <c r="AJ8" s="4">
        <f t="shared" si="3"/>
        <v>0</v>
      </c>
      <c r="AK8" s="4">
        <f t="shared" si="4"/>
        <v>0</v>
      </c>
    </row>
    <row r="9" spans="1:37" x14ac:dyDescent="0.25">
      <c r="A9" s="2">
        <v>4</v>
      </c>
      <c r="B9" s="2">
        <f>Annual_Report!B5</f>
        <v>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4">
        <f t="shared" si="1"/>
        <v>0</v>
      </c>
      <c r="AI9" s="4">
        <f t="shared" si="2"/>
        <v>0</v>
      </c>
      <c r="AJ9" s="4">
        <f t="shared" si="3"/>
        <v>0</v>
      </c>
      <c r="AK9" s="4">
        <f t="shared" si="4"/>
        <v>0</v>
      </c>
    </row>
    <row r="10" spans="1:37" x14ac:dyDescent="0.25">
      <c r="A10" s="2">
        <v>5</v>
      </c>
      <c r="B10" s="2">
        <f>Annual_Report!B6</f>
        <v>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4">
        <f t="shared" si="1"/>
        <v>0</v>
      </c>
      <c r="AI10" s="4">
        <f t="shared" si="2"/>
        <v>0</v>
      </c>
      <c r="AJ10" s="4">
        <f t="shared" si="3"/>
        <v>0</v>
      </c>
      <c r="AK10" s="4">
        <f t="shared" si="4"/>
        <v>0</v>
      </c>
    </row>
    <row r="11" spans="1:37" x14ac:dyDescent="0.25">
      <c r="A11" s="2">
        <v>6</v>
      </c>
      <c r="B11" s="2">
        <f>Annual_Report!B7</f>
        <v>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4">
        <f t="shared" si="1"/>
        <v>0</v>
      </c>
      <c r="AI11" s="4">
        <f t="shared" si="2"/>
        <v>0</v>
      </c>
      <c r="AJ11" s="4">
        <f t="shared" si="3"/>
        <v>0</v>
      </c>
      <c r="AK11" s="4">
        <f t="shared" si="4"/>
        <v>0</v>
      </c>
    </row>
    <row r="12" spans="1:37" x14ac:dyDescent="0.25">
      <c r="A12" s="2">
        <v>7</v>
      </c>
      <c r="B12" s="2">
        <f>Annual_Report!B8</f>
        <v>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4">
        <f t="shared" si="1"/>
        <v>0</v>
      </c>
      <c r="AI12" s="4">
        <f t="shared" si="2"/>
        <v>0</v>
      </c>
      <c r="AJ12" s="4">
        <f t="shared" si="3"/>
        <v>0</v>
      </c>
      <c r="AK12" s="4">
        <f t="shared" si="4"/>
        <v>0</v>
      </c>
    </row>
    <row r="13" spans="1:37" x14ac:dyDescent="0.25">
      <c r="A13" s="2">
        <v>8</v>
      </c>
      <c r="B13" s="2">
        <f>Annual_Report!B9</f>
        <v>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4">
        <f t="shared" si="1"/>
        <v>0</v>
      </c>
      <c r="AI13" s="4">
        <f t="shared" si="2"/>
        <v>0</v>
      </c>
      <c r="AJ13" s="4">
        <f t="shared" si="3"/>
        <v>0</v>
      </c>
      <c r="AK13" s="4">
        <f t="shared" si="4"/>
        <v>0</v>
      </c>
    </row>
    <row r="14" spans="1:37" x14ac:dyDescent="0.25">
      <c r="A14" s="2">
        <v>9</v>
      </c>
      <c r="B14" s="2">
        <f>Annual_Report!B10</f>
        <v>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4">
        <f t="shared" si="1"/>
        <v>0</v>
      </c>
      <c r="AI14" s="4">
        <f t="shared" si="2"/>
        <v>0</v>
      </c>
      <c r="AJ14" s="4">
        <f t="shared" si="3"/>
        <v>0</v>
      </c>
      <c r="AK14" s="4">
        <f t="shared" si="4"/>
        <v>0</v>
      </c>
    </row>
    <row r="15" spans="1:37" x14ac:dyDescent="0.25">
      <c r="A15" s="2">
        <v>10</v>
      </c>
      <c r="B15" s="2">
        <f>Annual_Report!B11</f>
        <v>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4">
        <f t="shared" si="1"/>
        <v>0</v>
      </c>
      <c r="AI15" s="4">
        <f t="shared" si="2"/>
        <v>0</v>
      </c>
      <c r="AJ15" s="4">
        <f t="shared" si="3"/>
        <v>0</v>
      </c>
      <c r="AK15" s="4">
        <f t="shared" si="4"/>
        <v>0</v>
      </c>
    </row>
    <row r="16" spans="1:37" x14ac:dyDescent="0.25">
      <c r="A16" s="2">
        <v>11</v>
      </c>
      <c r="B16" s="2">
        <f>Annual_Report!B12</f>
        <v>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4">
        <f t="shared" si="1"/>
        <v>0</v>
      </c>
      <c r="AI16" s="4">
        <f t="shared" si="2"/>
        <v>0</v>
      </c>
      <c r="AJ16" s="4">
        <f t="shared" si="3"/>
        <v>0</v>
      </c>
      <c r="AK16" s="4">
        <f t="shared" si="4"/>
        <v>0</v>
      </c>
    </row>
    <row r="17" spans="1:37" x14ac:dyDescent="0.25">
      <c r="A17" s="2">
        <v>12</v>
      </c>
      <c r="B17" s="2">
        <f>Annual_Report!B13</f>
        <v>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4">
        <f t="shared" si="1"/>
        <v>0</v>
      </c>
      <c r="AI17" s="4">
        <f t="shared" si="2"/>
        <v>0</v>
      </c>
      <c r="AJ17" s="4">
        <f t="shared" si="3"/>
        <v>0</v>
      </c>
      <c r="AK17" s="4">
        <f t="shared" si="4"/>
        <v>0</v>
      </c>
    </row>
    <row r="18" spans="1:37" x14ac:dyDescent="0.25">
      <c r="A18" s="2">
        <v>13</v>
      </c>
      <c r="B18" s="2">
        <f>Annual_Report!B14</f>
        <v>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4">
        <f t="shared" si="1"/>
        <v>0</v>
      </c>
      <c r="AI18" s="4">
        <f t="shared" si="2"/>
        <v>0</v>
      </c>
      <c r="AJ18" s="4">
        <f t="shared" si="3"/>
        <v>0</v>
      </c>
      <c r="AK18" s="4">
        <f t="shared" si="4"/>
        <v>0</v>
      </c>
    </row>
    <row r="19" spans="1:37" x14ac:dyDescent="0.25">
      <c r="A19" s="2">
        <v>14</v>
      </c>
      <c r="B19" s="2">
        <f>Annual_Report!B15</f>
        <v>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4">
        <f t="shared" si="1"/>
        <v>0</v>
      </c>
      <c r="AI19" s="4">
        <f t="shared" si="2"/>
        <v>0</v>
      </c>
      <c r="AJ19" s="4">
        <f t="shared" si="3"/>
        <v>0</v>
      </c>
      <c r="AK19" s="4">
        <f t="shared" si="4"/>
        <v>0</v>
      </c>
    </row>
    <row r="20" spans="1:37" x14ac:dyDescent="0.25">
      <c r="A20" s="2">
        <v>15</v>
      </c>
      <c r="B20" s="2">
        <f>Annual_Report!B16</f>
        <v>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4">
        <f t="shared" si="1"/>
        <v>0</v>
      </c>
      <c r="AI20" s="4">
        <f t="shared" si="2"/>
        <v>0</v>
      </c>
      <c r="AJ20" s="4">
        <f t="shared" si="3"/>
        <v>0</v>
      </c>
      <c r="AK20" s="4">
        <f t="shared" si="4"/>
        <v>0</v>
      </c>
    </row>
    <row r="21" spans="1:37" x14ac:dyDescent="0.25">
      <c r="A21" s="2">
        <v>16</v>
      </c>
      <c r="B21" s="2">
        <f>Annual_Report!B17</f>
        <v>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4">
        <f t="shared" si="1"/>
        <v>0</v>
      </c>
      <c r="AI21" s="4">
        <f t="shared" si="2"/>
        <v>0</v>
      </c>
      <c r="AJ21" s="4">
        <f t="shared" si="3"/>
        <v>0</v>
      </c>
      <c r="AK21" s="4">
        <f t="shared" si="4"/>
        <v>0</v>
      </c>
    </row>
    <row r="22" spans="1:37" x14ac:dyDescent="0.25">
      <c r="A22" s="2">
        <v>17</v>
      </c>
      <c r="B22" s="2">
        <f>Annual_Report!B18</f>
        <v>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4">
        <f t="shared" si="1"/>
        <v>0</v>
      </c>
      <c r="AI22" s="4">
        <f t="shared" si="2"/>
        <v>0</v>
      </c>
      <c r="AJ22" s="4">
        <f t="shared" si="3"/>
        <v>0</v>
      </c>
      <c r="AK22" s="4">
        <f t="shared" si="4"/>
        <v>0</v>
      </c>
    </row>
    <row r="23" spans="1:37" x14ac:dyDescent="0.25">
      <c r="A23" s="2">
        <v>18</v>
      </c>
      <c r="B23" s="2">
        <f>Annual_Report!B19</f>
        <v>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4">
        <f t="shared" si="1"/>
        <v>0</v>
      </c>
      <c r="AI23" s="4">
        <f t="shared" si="2"/>
        <v>0</v>
      </c>
      <c r="AJ23" s="4">
        <f t="shared" si="3"/>
        <v>0</v>
      </c>
      <c r="AK23" s="4">
        <f t="shared" si="4"/>
        <v>0</v>
      </c>
    </row>
    <row r="24" spans="1:37" x14ac:dyDescent="0.25">
      <c r="A24" s="2">
        <v>19</v>
      </c>
      <c r="B24" s="2">
        <f>Annual_Report!B20</f>
        <v>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4">
        <f t="shared" si="1"/>
        <v>0</v>
      </c>
      <c r="AI24" s="4">
        <f t="shared" si="2"/>
        <v>0</v>
      </c>
      <c r="AJ24" s="4">
        <f t="shared" si="3"/>
        <v>0</v>
      </c>
      <c r="AK24" s="4">
        <f t="shared" si="4"/>
        <v>0</v>
      </c>
    </row>
    <row r="25" spans="1:37" x14ac:dyDescent="0.25">
      <c r="A25" s="2">
        <v>20</v>
      </c>
      <c r="B25" s="2">
        <f>Annual_Report!B21</f>
        <v>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4">
        <f t="shared" si="1"/>
        <v>0</v>
      </c>
      <c r="AI25" s="4">
        <f t="shared" si="2"/>
        <v>0</v>
      </c>
      <c r="AJ25" s="4">
        <f t="shared" si="3"/>
        <v>0</v>
      </c>
      <c r="AK25" s="4">
        <f t="shared" si="4"/>
        <v>0</v>
      </c>
    </row>
    <row r="26" spans="1:37" x14ac:dyDescent="0.25">
      <c r="A26" s="2">
        <v>21</v>
      </c>
      <c r="B26" s="2">
        <f>Annual_Report!B22</f>
        <v>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4">
        <f t="shared" si="1"/>
        <v>0</v>
      </c>
      <c r="AI26" s="4">
        <f t="shared" si="2"/>
        <v>0</v>
      </c>
      <c r="AJ26" s="4">
        <f t="shared" si="3"/>
        <v>0</v>
      </c>
      <c r="AK26" s="4">
        <f t="shared" si="4"/>
        <v>0</v>
      </c>
    </row>
    <row r="27" spans="1:37" x14ac:dyDescent="0.25">
      <c r="A27" s="2">
        <v>22</v>
      </c>
      <c r="B27" s="2">
        <f>Annual_Report!B23</f>
        <v>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4">
        <f t="shared" si="1"/>
        <v>0</v>
      </c>
      <c r="AI27" s="4">
        <f t="shared" si="2"/>
        <v>0</v>
      </c>
      <c r="AJ27" s="4">
        <f t="shared" si="3"/>
        <v>0</v>
      </c>
      <c r="AK27" s="4">
        <f t="shared" si="4"/>
        <v>0</v>
      </c>
    </row>
    <row r="28" spans="1:37" x14ac:dyDescent="0.25">
      <c r="A28" s="2">
        <v>23</v>
      </c>
      <c r="B28" s="2">
        <f>Annual_Report!B24</f>
        <v>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4">
        <f t="shared" si="1"/>
        <v>0</v>
      </c>
      <c r="AI28" s="4">
        <f t="shared" si="2"/>
        <v>0</v>
      </c>
      <c r="AJ28" s="4">
        <f t="shared" si="3"/>
        <v>0</v>
      </c>
      <c r="AK28" s="4">
        <f t="shared" si="4"/>
        <v>0</v>
      </c>
    </row>
    <row r="29" spans="1:37" x14ac:dyDescent="0.25">
      <c r="A29" s="2">
        <v>24</v>
      </c>
      <c r="B29" s="2">
        <f>Annual_Report!B25</f>
        <v>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4">
        <f t="shared" si="1"/>
        <v>0</v>
      </c>
      <c r="AI29" s="4">
        <f t="shared" si="2"/>
        <v>0</v>
      </c>
      <c r="AJ29" s="4">
        <f t="shared" si="3"/>
        <v>0</v>
      </c>
      <c r="AK29" s="4">
        <f t="shared" si="4"/>
        <v>0</v>
      </c>
    </row>
    <row r="30" spans="1:37" x14ac:dyDescent="0.25">
      <c r="A30" s="2">
        <v>25</v>
      </c>
      <c r="B30" s="2">
        <f>Annual_Report!B26</f>
        <v>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4">
        <f t="shared" si="1"/>
        <v>0</v>
      </c>
      <c r="AI30" s="4">
        <f t="shared" si="2"/>
        <v>0</v>
      </c>
      <c r="AJ30" s="4">
        <f t="shared" si="3"/>
        <v>0</v>
      </c>
      <c r="AK30" s="4">
        <f t="shared" si="4"/>
        <v>0</v>
      </c>
    </row>
    <row r="31" spans="1:37" x14ac:dyDescent="0.25">
      <c r="A31" s="2">
        <v>26</v>
      </c>
      <c r="B31" s="2">
        <f>Annual_Report!B27</f>
        <v>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4">
        <f t="shared" si="1"/>
        <v>0</v>
      </c>
      <c r="AI31" s="4">
        <f t="shared" si="2"/>
        <v>0</v>
      </c>
      <c r="AJ31" s="4">
        <f t="shared" si="3"/>
        <v>0</v>
      </c>
      <c r="AK31" s="4">
        <f t="shared" si="4"/>
        <v>0</v>
      </c>
    </row>
    <row r="32" spans="1:37" x14ac:dyDescent="0.25">
      <c r="A32" s="2">
        <v>27</v>
      </c>
      <c r="B32" s="2">
        <f>Annual_Report!B28</f>
        <v>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4">
        <f t="shared" si="1"/>
        <v>0</v>
      </c>
      <c r="AI32" s="4">
        <f t="shared" si="2"/>
        <v>0</v>
      </c>
      <c r="AJ32" s="4">
        <f t="shared" si="3"/>
        <v>0</v>
      </c>
      <c r="AK32" s="4">
        <f t="shared" si="4"/>
        <v>0</v>
      </c>
    </row>
    <row r="33" spans="1:37" x14ac:dyDescent="0.25">
      <c r="A33" s="2">
        <v>28</v>
      </c>
      <c r="B33" s="2">
        <f>Annual_Report!B29</f>
        <v>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4">
        <f t="shared" si="1"/>
        <v>0</v>
      </c>
      <c r="AI33" s="4">
        <f t="shared" si="2"/>
        <v>0</v>
      </c>
      <c r="AJ33" s="4">
        <f t="shared" si="3"/>
        <v>0</v>
      </c>
      <c r="AK33" s="4">
        <f t="shared" si="4"/>
        <v>0</v>
      </c>
    </row>
    <row r="34" spans="1:37" x14ac:dyDescent="0.25">
      <c r="A34" s="2">
        <v>29</v>
      </c>
      <c r="B34" s="2">
        <f>Annual_Report!B30</f>
        <v>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4">
        <f t="shared" si="1"/>
        <v>0</v>
      </c>
      <c r="AI34" s="4">
        <f t="shared" si="2"/>
        <v>0</v>
      </c>
      <c r="AJ34" s="4">
        <f t="shared" si="3"/>
        <v>0</v>
      </c>
      <c r="AK34" s="4">
        <f t="shared" si="4"/>
        <v>0</v>
      </c>
    </row>
    <row r="35" spans="1:37" x14ac:dyDescent="0.25">
      <c r="A35" s="2">
        <v>30</v>
      </c>
      <c r="B35" s="2">
        <f>Annual_Report!B31</f>
        <v>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4">
        <f t="shared" si="1"/>
        <v>0</v>
      </c>
      <c r="AI35" s="4">
        <f t="shared" si="2"/>
        <v>0</v>
      </c>
      <c r="AJ35" s="4">
        <f t="shared" si="3"/>
        <v>0</v>
      </c>
      <c r="AK35" s="4">
        <f t="shared" si="4"/>
        <v>0</v>
      </c>
    </row>
    <row r="36" spans="1:37" x14ac:dyDescent="0.25">
      <c r="A36" s="2">
        <v>31</v>
      </c>
      <c r="B36" s="2">
        <f>Annual_Report!B32</f>
        <v>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4">
        <f t="shared" si="1"/>
        <v>0</v>
      </c>
      <c r="AI36" s="4">
        <f t="shared" si="2"/>
        <v>0</v>
      </c>
      <c r="AJ36" s="4">
        <f t="shared" si="3"/>
        <v>0</v>
      </c>
      <c r="AK36" s="4">
        <f t="shared" si="4"/>
        <v>0</v>
      </c>
    </row>
    <row r="37" spans="1:37" x14ac:dyDescent="0.25">
      <c r="A37" s="2">
        <v>32</v>
      </c>
      <c r="B37" s="2">
        <f>Annual_Report!B33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4">
        <f t="shared" si="1"/>
        <v>0</v>
      </c>
      <c r="AI37" s="4">
        <f t="shared" si="2"/>
        <v>0</v>
      </c>
      <c r="AJ37" s="4">
        <f t="shared" si="3"/>
        <v>0</v>
      </c>
      <c r="AK37" s="4">
        <f t="shared" si="4"/>
        <v>0</v>
      </c>
    </row>
    <row r="38" spans="1:37" x14ac:dyDescent="0.25">
      <c r="A38" s="2">
        <v>33</v>
      </c>
      <c r="B38" s="2">
        <f>Annual_Report!B34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4">
        <f t="shared" ref="AH38:AH69" si="5">COUNTIF($C38:$AG38, "ح")</f>
        <v>0</v>
      </c>
      <c r="AI38" s="4">
        <f t="shared" ref="AI38:AI69" si="6">COUNTIF($C38:$AG38, "غ")</f>
        <v>0</v>
      </c>
      <c r="AJ38" s="4">
        <f t="shared" ref="AJ38:AJ69" si="7">COUNTIF($C38:$AG38, "ج")</f>
        <v>0</v>
      </c>
      <c r="AK38" s="4">
        <f t="shared" ref="AK38:AK69" si="8">COUNTIF($C38:$AG38, "م")</f>
        <v>0</v>
      </c>
    </row>
    <row r="39" spans="1:37" x14ac:dyDescent="0.25">
      <c r="A39" s="2">
        <v>34</v>
      </c>
      <c r="B39" s="2">
        <f>Annual_Report!B35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4">
        <f t="shared" si="5"/>
        <v>0</v>
      </c>
      <c r="AI39" s="4">
        <f t="shared" si="6"/>
        <v>0</v>
      </c>
      <c r="AJ39" s="4">
        <f t="shared" si="7"/>
        <v>0</v>
      </c>
      <c r="AK39" s="4">
        <f t="shared" si="8"/>
        <v>0</v>
      </c>
    </row>
    <row r="40" spans="1:37" x14ac:dyDescent="0.25">
      <c r="A40" s="2">
        <v>35</v>
      </c>
      <c r="B40" s="2">
        <f>Annual_Report!B36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4">
        <f t="shared" si="5"/>
        <v>0</v>
      </c>
      <c r="AI40" s="4">
        <f t="shared" si="6"/>
        <v>0</v>
      </c>
      <c r="AJ40" s="4">
        <f t="shared" si="7"/>
        <v>0</v>
      </c>
      <c r="AK40" s="4">
        <f t="shared" si="8"/>
        <v>0</v>
      </c>
    </row>
    <row r="41" spans="1:37" x14ac:dyDescent="0.25">
      <c r="A41" s="2">
        <v>36</v>
      </c>
      <c r="B41" s="2">
        <f>Annual_Report!B37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4">
        <f t="shared" si="5"/>
        <v>0</v>
      </c>
      <c r="AI41" s="4">
        <f t="shared" si="6"/>
        <v>0</v>
      </c>
      <c r="AJ41" s="4">
        <f t="shared" si="7"/>
        <v>0</v>
      </c>
      <c r="AK41" s="4">
        <f t="shared" si="8"/>
        <v>0</v>
      </c>
    </row>
    <row r="42" spans="1:37" x14ac:dyDescent="0.25">
      <c r="A42" s="2">
        <v>37</v>
      </c>
      <c r="B42" s="2">
        <f>Annual_Report!B38</f>
        <v>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4">
        <f t="shared" si="5"/>
        <v>0</v>
      </c>
      <c r="AI42" s="4">
        <f t="shared" si="6"/>
        <v>0</v>
      </c>
      <c r="AJ42" s="4">
        <f t="shared" si="7"/>
        <v>0</v>
      </c>
      <c r="AK42" s="4">
        <f t="shared" si="8"/>
        <v>0</v>
      </c>
    </row>
    <row r="43" spans="1:37" x14ac:dyDescent="0.25">
      <c r="A43" s="2">
        <v>38</v>
      </c>
      <c r="B43" s="2">
        <f>Annual_Report!B39</f>
        <v>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4">
        <f t="shared" si="5"/>
        <v>0</v>
      </c>
      <c r="AI43" s="4">
        <f t="shared" si="6"/>
        <v>0</v>
      </c>
      <c r="AJ43" s="4">
        <f t="shared" si="7"/>
        <v>0</v>
      </c>
      <c r="AK43" s="4">
        <f t="shared" si="8"/>
        <v>0</v>
      </c>
    </row>
    <row r="44" spans="1:37" x14ac:dyDescent="0.25">
      <c r="A44" s="2">
        <v>39</v>
      </c>
      <c r="B44" s="2">
        <f>Annual_Report!B40</f>
        <v>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4">
        <f t="shared" si="5"/>
        <v>0</v>
      </c>
      <c r="AI44" s="4">
        <f t="shared" si="6"/>
        <v>0</v>
      </c>
      <c r="AJ44" s="4">
        <f t="shared" si="7"/>
        <v>0</v>
      </c>
      <c r="AK44" s="4">
        <f t="shared" si="8"/>
        <v>0</v>
      </c>
    </row>
    <row r="45" spans="1:37" x14ac:dyDescent="0.25">
      <c r="A45" s="2">
        <v>40</v>
      </c>
      <c r="B45" s="2">
        <f>Annual_Report!B41</f>
        <v>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4">
        <f t="shared" si="5"/>
        <v>0</v>
      </c>
      <c r="AI45" s="4">
        <f t="shared" si="6"/>
        <v>0</v>
      </c>
      <c r="AJ45" s="4">
        <f t="shared" si="7"/>
        <v>0</v>
      </c>
      <c r="AK45" s="4">
        <f t="shared" si="8"/>
        <v>0</v>
      </c>
    </row>
    <row r="46" spans="1:37" x14ac:dyDescent="0.25">
      <c r="A46" s="2">
        <v>41</v>
      </c>
      <c r="B46" s="2">
        <f>Annual_Report!B42</f>
        <v>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4">
        <f t="shared" si="5"/>
        <v>0</v>
      </c>
      <c r="AI46" s="4">
        <f t="shared" si="6"/>
        <v>0</v>
      </c>
      <c r="AJ46" s="4">
        <f t="shared" si="7"/>
        <v>0</v>
      </c>
      <c r="AK46" s="4">
        <f t="shared" si="8"/>
        <v>0</v>
      </c>
    </row>
    <row r="47" spans="1:37" x14ac:dyDescent="0.25">
      <c r="A47" s="2">
        <v>42</v>
      </c>
      <c r="B47" s="2">
        <f>Annual_Report!B43</f>
        <v>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4">
        <f t="shared" si="5"/>
        <v>0</v>
      </c>
      <c r="AI47" s="4">
        <f t="shared" si="6"/>
        <v>0</v>
      </c>
      <c r="AJ47" s="4">
        <f t="shared" si="7"/>
        <v>0</v>
      </c>
      <c r="AK47" s="4">
        <f t="shared" si="8"/>
        <v>0</v>
      </c>
    </row>
    <row r="48" spans="1:37" x14ac:dyDescent="0.25">
      <c r="A48" s="2">
        <v>43</v>
      </c>
      <c r="B48" s="2">
        <f>Annual_Report!B44</f>
        <v>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4">
        <f t="shared" si="5"/>
        <v>0</v>
      </c>
      <c r="AI48" s="4">
        <f t="shared" si="6"/>
        <v>0</v>
      </c>
      <c r="AJ48" s="4">
        <f t="shared" si="7"/>
        <v>0</v>
      </c>
      <c r="AK48" s="4">
        <f t="shared" si="8"/>
        <v>0</v>
      </c>
    </row>
    <row r="49" spans="1:37" x14ac:dyDescent="0.25">
      <c r="A49" s="2">
        <v>44</v>
      </c>
      <c r="B49" s="2">
        <f>Annual_Report!B45</f>
        <v>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4">
        <f t="shared" si="5"/>
        <v>0</v>
      </c>
      <c r="AI49" s="4">
        <f t="shared" si="6"/>
        <v>0</v>
      </c>
      <c r="AJ49" s="4">
        <f t="shared" si="7"/>
        <v>0</v>
      </c>
      <c r="AK49" s="4">
        <f t="shared" si="8"/>
        <v>0</v>
      </c>
    </row>
    <row r="50" spans="1:37" x14ac:dyDescent="0.25">
      <c r="A50" s="2">
        <v>45</v>
      </c>
      <c r="B50" s="2">
        <f>Annual_Report!B46</f>
        <v>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4">
        <f t="shared" si="5"/>
        <v>0</v>
      </c>
      <c r="AI50" s="4">
        <f t="shared" si="6"/>
        <v>0</v>
      </c>
      <c r="AJ50" s="4">
        <f t="shared" si="7"/>
        <v>0</v>
      </c>
      <c r="AK50" s="4">
        <f t="shared" si="8"/>
        <v>0</v>
      </c>
    </row>
    <row r="51" spans="1:37" x14ac:dyDescent="0.25">
      <c r="A51" s="2">
        <v>46</v>
      </c>
      <c r="B51" s="2">
        <f>Annual_Report!B47</f>
        <v>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4">
        <f t="shared" si="5"/>
        <v>0</v>
      </c>
      <c r="AI51" s="4">
        <f t="shared" si="6"/>
        <v>0</v>
      </c>
      <c r="AJ51" s="4">
        <f t="shared" si="7"/>
        <v>0</v>
      </c>
      <c r="AK51" s="4">
        <f t="shared" si="8"/>
        <v>0</v>
      </c>
    </row>
    <row r="52" spans="1:37" x14ac:dyDescent="0.25">
      <c r="A52" s="2">
        <v>47</v>
      </c>
      <c r="B52" s="2">
        <f>Annual_Report!B48</f>
        <v>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4">
        <f t="shared" si="5"/>
        <v>0</v>
      </c>
      <c r="AI52" s="4">
        <f t="shared" si="6"/>
        <v>0</v>
      </c>
      <c r="AJ52" s="4">
        <f t="shared" si="7"/>
        <v>0</v>
      </c>
      <c r="AK52" s="4">
        <f t="shared" si="8"/>
        <v>0</v>
      </c>
    </row>
    <row r="53" spans="1:37" x14ac:dyDescent="0.25">
      <c r="A53" s="2">
        <v>48</v>
      </c>
      <c r="B53" s="2">
        <f>Annual_Report!B49</f>
        <v>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4">
        <f t="shared" si="5"/>
        <v>0</v>
      </c>
      <c r="AI53" s="4">
        <f t="shared" si="6"/>
        <v>0</v>
      </c>
      <c r="AJ53" s="4">
        <f t="shared" si="7"/>
        <v>0</v>
      </c>
      <c r="AK53" s="4">
        <f t="shared" si="8"/>
        <v>0</v>
      </c>
    </row>
    <row r="54" spans="1:37" x14ac:dyDescent="0.25">
      <c r="A54" s="2">
        <v>49</v>
      </c>
      <c r="B54" s="2">
        <f>Annual_Report!B50</f>
        <v>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4">
        <f t="shared" si="5"/>
        <v>0</v>
      </c>
      <c r="AI54" s="4">
        <f t="shared" si="6"/>
        <v>0</v>
      </c>
      <c r="AJ54" s="4">
        <f t="shared" si="7"/>
        <v>0</v>
      </c>
      <c r="AK54" s="4">
        <f t="shared" si="8"/>
        <v>0</v>
      </c>
    </row>
    <row r="55" spans="1:37" x14ac:dyDescent="0.25">
      <c r="A55" s="2">
        <v>50</v>
      </c>
      <c r="B55" s="2">
        <f>Annual_Report!B51</f>
        <v>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4">
        <f t="shared" si="5"/>
        <v>0</v>
      </c>
      <c r="AI55" s="4">
        <f t="shared" si="6"/>
        <v>0</v>
      </c>
      <c r="AJ55" s="4">
        <f t="shared" si="7"/>
        <v>0</v>
      </c>
      <c r="AK55" s="4">
        <f t="shared" si="8"/>
        <v>0</v>
      </c>
    </row>
    <row r="56" spans="1:37" x14ac:dyDescent="0.25">
      <c r="A56" s="2">
        <v>51</v>
      </c>
      <c r="B56" s="2">
        <f>Annual_Report!B52</f>
        <v>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4">
        <f t="shared" si="5"/>
        <v>0</v>
      </c>
      <c r="AI56" s="4">
        <f t="shared" si="6"/>
        <v>0</v>
      </c>
      <c r="AJ56" s="4">
        <f t="shared" si="7"/>
        <v>0</v>
      </c>
      <c r="AK56" s="4">
        <f t="shared" si="8"/>
        <v>0</v>
      </c>
    </row>
    <row r="57" spans="1:37" x14ac:dyDescent="0.25">
      <c r="A57" s="2">
        <v>52</v>
      </c>
      <c r="B57" s="2">
        <f>Annual_Report!B53</f>
        <v>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4">
        <f t="shared" si="5"/>
        <v>0</v>
      </c>
      <c r="AI57" s="4">
        <f t="shared" si="6"/>
        <v>0</v>
      </c>
      <c r="AJ57" s="4">
        <f t="shared" si="7"/>
        <v>0</v>
      </c>
      <c r="AK57" s="4">
        <f t="shared" si="8"/>
        <v>0</v>
      </c>
    </row>
    <row r="58" spans="1:37" x14ac:dyDescent="0.25">
      <c r="A58" s="2">
        <v>53</v>
      </c>
      <c r="B58" s="2">
        <f>Annual_Report!B54</f>
        <v>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4">
        <f t="shared" si="5"/>
        <v>0</v>
      </c>
      <c r="AI58" s="4">
        <f t="shared" si="6"/>
        <v>0</v>
      </c>
      <c r="AJ58" s="4">
        <f t="shared" si="7"/>
        <v>0</v>
      </c>
      <c r="AK58" s="4">
        <f t="shared" si="8"/>
        <v>0</v>
      </c>
    </row>
    <row r="59" spans="1:37" x14ac:dyDescent="0.25">
      <c r="A59" s="2">
        <v>54</v>
      </c>
      <c r="B59" s="2">
        <f>Annual_Report!B55</f>
        <v>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4">
        <f t="shared" si="5"/>
        <v>0</v>
      </c>
      <c r="AI59" s="4">
        <f t="shared" si="6"/>
        <v>0</v>
      </c>
      <c r="AJ59" s="4">
        <f t="shared" si="7"/>
        <v>0</v>
      </c>
      <c r="AK59" s="4">
        <f t="shared" si="8"/>
        <v>0</v>
      </c>
    </row>
    <row r="60" spans="1:37" x14ac:dyDescent="0.25">
      <c r="A60" s="2">
        <v>55</v>
      </c>
      <c r="B60" s="2">
        <f>Annual_Report!B56</f>
        <v>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4">
        <f t="shared" si="5"/>
        <v>0</v>
      </c>
      <c r="AI60" s="4">
        <f t="shared" si="6"/>
        <v>0</v>
      </c>
      <c r="AJ60" s="4">
        <f t="shared" si="7"/>
        <v>0</v>
      </c>
      <c r="AK60" s="4">
        <f t="shared" si="8"/>
        <v>0</v>
      </c>
    </row>
    <row r="61" spans="1:37" x14ac:dyDescent="0.25">
      <c r="A61" s="2">
        <v>56</v>
      </c>
      <c r="B61" s="2">
        <f>Annual_Report!B57</f>
        <v>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4">
        <f t="shared" si="5"/>
        <v>0</v>
      </c>
      <c r="AI61" s="4">
        <f t="shared" si="6"/>
        <v>0</v>
      </c>
      <c r="AJ61" s="4">
        <f t="shared" si="7"/>
        <v>0</v>
      </c>
      <c r="AK61" s="4">
        <f t="shared" si="8"/>
        <v>0</v>
      </c>
    </row>
    <row r="62" spans="1:37" x14ac:dyDescent="0.25">
      <c r="A62" s="2">
        <v>57</v>
      </c>
      <c r="B62" s="2">
        <f>Annual_Report!B58</f>
        <v>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4">
        <f t="shared" si="5"/>
        <v>0</v>
      </c>
      <c r="AI62" s="4">
        <f t="shared" si="6"/>
        <v>0</v>
      </c>
      <c r="AJ62" s="4">
        <f t="shared" si="7"/>
        <v>0</v>
      </c>
      <c r="AK62" s="4">
        <f t="shared" si="8"/>
        <v>0</v>
      </c>
    </row>
    <row r="63" spans="1:37" x14ac:dyDescent="0.25">
      <c r="A63" s="2">
        <v>58</v>
      </c>
      <c r="B63" s="2">
        <f>Annual_Report!B59</f>
        <v>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4">
        <f t="shared" si="5"/>
        <v>0</v>
      </c>
      <c r="AI63" s="4">
        <f t="shared" si="6"/>
        <v>0</v>
      </c>
      <c r="AJ63" s="4">
        <f t="shared" si="7"/>
        <v>0</v>
      </c>
      <c r="AK63" s="4">
        <f t="shared" si="8"/>
        <v>0</v>
      </c>
    </row>
    <row r="64" spans="1:37" x14ac:dyDescent="0.25">
      <c r="A64" s="2">
        <v>59</v>
      </c>
      <c r="B64" s="2">
        <f>Annual_Report!B60</f>
        <v>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4">
        <f t="shared" si="5"/>
        <v>0</v>
      </c>
      <c r="AI64" s="4">
        <f t="shared" si="6"/>
        <v>0</v>
      </c>
      <c r="AJ64" s="4">
        <f t="shared" si="7"/>
        <v>0</v>
      </c>
      <c r="AK64" s="4">
        <f t="shared" si="8"/>
        <v>0</v>
      </c>
    </row>
    <row r="65" spans="1:37" x14ac:dyDescent="0.25">
      <c r="A65" s="2">
        <v>60</v>
      </c>
      <c r="B65" s="2">
        <f>Annual_Report!B61</f>
        <v>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4">
        <f t="shared" si="5"/>
        <v>0</v>
      </c>
      <c r="AI65" s="4">
        <f t="shared" si="6"/>
        <v>0</v>
      </c>
      <c r="AJ65" s="4">
        <f t="shared" si="7"/>
        <v>0</v>
      </c>
      <c r="AK65" s="4">
        <f t="shared" si="8"/>
        <v>0</v>
      </c>
    </row>
    <row r="66" spans="1:37" x14ac:dyDescent="0.25">
      <c r="A66" s="2">
        <v>61</v>
      </c>
      <c r="B66" s="2">
        <f>Annual_Report!B62</f>
        <v>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4">
        <f t="shared" si="5"/>
        <v>0</v>
      </c>
      <c r="AI66" s="4">
        <f t="shared" si="6"/>
        <v>0</v>
      </c>
      <c r="AJ66" s="4">
        <f t="shared" si="7"/>
        <v>0</v>
      </c>
      <c r="AK66" s="4">
        <f t="shared" si="8"/>
        <v>0</v>
      </c>
    </row>
    <row r="67" spans="1:37" x14ac:dyDescent="0.25">
      <c r="A67" s="2">
        <v>62</v>
      </c>
      <c r="B67" s="2">
        <f>Annual_Report!B63</f>
        <v>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4">
        <f t="shared" si="5"/>
        <v>0</v>
      </c>
      <c r="AI67" s="4">
        <f t="shared" si="6"/>
        <v>0</v>
      </c>
      <c r="AJ67" s="4">
        <f t="shared" si="7"/>
        <v>0</v>
      </c>
      <c r="AK67" s="4">
        <f t="shared" si="8"/>
        <v>0</v>
      </c>
    </row>
    <row r="68" spans="1:37" x14ac:dyDescent="0.25">
      <c r="A68" s="2">
        <v>63</v>
      </c>
      <c r="B68" s="2">
        <f>Annual_Report!B64</f>
        <v>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4">
        <f t="shared" si="5"/>
        <v>0</v>
      </c>
      <c r="AI68" s="4">
        <f t="shared" si="6"/>
        <v>0</v>
      </c>
      <c r="AJ68" s="4">
        <f t="shared" si="7"/>
        <v>0</v>
      </c>
      <c r="AK68" s="4">
        <f t="shared" si="8"/>
        <v>0</v>
      </c>
    </row>
    <row r="69" spans="1:37" x14ac:dyDescent="0.25">
      <c r="A69" s="2">
        <v>64</v>
      </c>
      <c r="B69" s="2">
        <f>Annual_Report!B65</f>
        <v>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4">
        <f t="shared" si="5"/>
        <v>0</v>
      </c>
      <c r="AI69" s="4">
        <f t="shared" si="6"/>
        <v>0</v>
      </c>
      <c r="AJ69" s="4">
        <f t="shared" si="7"/>
        <v>0</v>
      </c>
      <c r="AK69" s="4">
        <f t="shared" si="8"/>
        <v>0</v>
      </c>
    </row>
    <row r="70" spans="1:37" x14ac:dyDescent="0.25">
      <c r="A70" s="2">
        <v>65</v>
      </c>
      <c r="B70" s="2">
        <f>Annual_Report!B66</f>
        <v>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4">
        <f t="shared" ref="AH70:AH105" si="9">COUNTIF($C70:$AG70, "ح")</f>
        <v>0</v>
      </c>
      <c r="AI70" s="4">
        <f t="shared" ref="AI70:AI105" si="10">COUNTIF($C70:$AG70, "غ")</f>
        <v>0</v>
      </c>
      <c r="AJ70" s="4">
        <f t="shared" ref="AJ70:AJ105" si="11">COUNTIF($C70:$AG70, "ج")</f>
        <v>0</v>
      </c>
      <c r="AK70" s="4">
        <f t="shared" ref="AK70:AK105" si="12">COUNTIF($C70:$AG70, "م")</f>
        <v>0</v>
      </c>
    </row>
    <row r="71" spans="1:37" x14ac:dyDescent="0.25">
      <c r="A71" s="2">
        <v>66</v>
      </c>
      <c r="B71" s="2">
        <f>Annual_Report!B67</f>
        <v>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4">
        <f t="shared" si="9"/>
        <v>0</v>
      </c>
      <c r="AI71" s="4">
        <f t="shared" si="10"/>
        <v>0</v>
      </c>
      <c r="AJ71" s="4">
        <f t="shared" si="11"/>
        <v>0</v>
      </c>
      <c r="AK71" s="4">
        <f t="shared" si="12"/>
        <v>0</v>
      </c>
    </row>
    <row r="72" spans="1:37" x14ac:dyDescent="0.25">
      <c r="A72" s="2">
        <v>67</v>
      </c>
      <c r="B72" s="2">
        <f>Annual_Report!B68</f>
        <v>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4">
        <f t="shared" si="9"/>
        <v>0</v>
      </c>
      <c r="AI72" s="4">
        <f t="shared" si="10"/>
        <v>0</v>
      </c>
      <c r="AJ72" s="4">
        <f t="shared" si="11"/>
        <v>0</v>
      </c>
      <c r="AK72" s="4">
        <f t="shared" si="12"/>
        <v>0</v>
      </c>
    </row>
    <row r="73" spans="1:37" x14ac:dyDescent="0.25">
      <c r="A73" s="2">
        <v>68</v>
      </c>
      <c r="B73" s="2">
        <f>Annual_Report!B69</f>
        <v>0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4">
        <f t="shared" si="9"/>
        <v>0</v>
      </c>
      <c r="AI73" s="4">
        <f t="shared" si="10"/>
        <v>0</v>
      </c>
      <c r="AJ73" s="4">
        <f t="shared" si="11"/>
        <v>0</v>
      </c>
      <c r="AK73" s="4">
        <f t="shared" si="12"/>
        <v>0</v>
      </c>
    </row>
    <row r="74" spans="1:37" x14ac:dyDescent="0.25">
      <c r="A74" s="2">
        <v>69</v>
      </c>
      <c r="B74" s="2">
        <f>Annual_Report!B70</f>
        <v>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4">
        <f t="shared" si="9"/>
        <v>0</v>
      </c>
      <c r="AI74" s="4">
        <f t="shared" si="10"/>
        <v>0</v>
      </c>
      <c r="AJ74" s="4">
        <f t="shared" si="11"/>
        <v>0</v>
      </c>
      <c r="AK74" s="4">
        <f t="shared" si="12"/>
        <v>0</v>
      </c>
    </row>
    <row r="75" spans="1:37" x14ac:dyDescent="0.25">
      <c r="A75" s="2">
        <v>70</v>
      </c>
      <c r="B75" s="2">
        <f>Annual_Report!B71</f>
        <v>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4">
        <f t="shared" si="9"/>
        <v>0</v>
      </c>
      <c r="AI75" s="4">
        <f t="shared" si="10"/>
        <v>0</v>
      </c>
      <c r="AJ75" s="4">
        <f t="shared" si="11"/>
        <v>0</v>
      </c>
      <c r="AK75" s="4">
        <f t="shared" si="12"/>
        <v>0</v>
      </c>
    </row>
    <row r="76" spans="1:37" x14ac:dyDescent="0.25">
      <c r="A76" s="2">
        <v>71</v>
      </c>
      <c r="B76" s="2">
        <f>Annual_Report!B72</f>
        <v>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4">
        <f t="shared" si="9"/>
        <v>0</v>
      </c>
      <c r="AI76" s="4">
        <f t="shared" si="10"/>
        <v>0</v>
      </c>
      <c r="AJ76" s="4">
        <f t="shared" si="11"/>
        <v>0</v>
      </c>
      <c r="AK76" s="4">
        <f t="shared" si="12"/>
        <v>0</v>
      </c>
    </row>
    <row r="77" spans="1:37" x14ac:dyDescent="0.25">
      <c r="A77" s="2">
        <v>72</v>
      </c>
      <c r="B77" s="2">
        <f>Annual_Report!B73</f>
        <v>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4">
        <f t="shared" si="9"/>
        <v>0</v>
      </c>
      <c r="AI77" s="4">
        <f t="shared" si="10"/>
        <v>0</v>
      </c>
      <c r="AJ77" s="4">
        <f t="shared" si="11"/>
        <v>0</v>
      </c>
      <c r="AK77" s="4">
        <f t="shared" si="12"/>
        <v>0</v>
      </c>
    </row>
    <row r="78" spans="1:37" x14ac:dyDescent="0.25">
      <c r="A78" s="2">
        <v>73</v>
      </c>
      <c r="B78" s="2">
        <f>Annual_Report!B74</f>
        <v>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4">
        <f t="shared" si="9"/>
        <v>0</v>
      </c>
      <c r="AI78" s="4">
        <f t="shared" si="10"/>
        <v>0</v>
      </c>
      <c r="AJ78" s="4">
        <f t="shared" si="11"/>
        <v>0</v>
      </c>
      <c r="AK78" s="4">
        <f t="shared" si="12"/>
        <v>0</v>
      </c>
    </row>
    <row r="79" spans="1:37" x14ac:dyDescent="0.25">
      <c r="A79" s="2">
        <v>74</v>
      </c>
      <c r="B79" s="2">
        <f>Annual_Report!B75</f>
        <v>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4">
        <f t="shared" si="9"/>
        <v>0</v>
      </c>
      <c r="AI79" s="4">
        <f t="shared" si="10"/>
        <v>0</v>
      </c>
      <c r="AJ79" s="4">
        <f t="shared" si="11"/>
        <v>0</v>
      </c>
      <c r="AK79" s="4">
        <f t="shared" si="12"/>
        <v>0</v>
      </c>
    </row>
    <row r="80" spans="1:37" x14ac:dyDescent="0.25">
      <c r="A80" s="2">
        <v>75</v>
      </c>
      <c r="B80" s="2">
        <f>Annual_Report!B76</f>
        <v>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4">
        <f t="shared" si="9"/>
        <v>0</v>
      </c>
      <c r="AI80" s="4">
        <f t="shared" si="10"/>
        <v>0</v>
      </c>
      <c r="AJ80" s="4">
        <f t="shared" si="11"/>
        <v>0</v>
      </c>
      <c r="AK80" s="4">
        <f t="shared" si="12"/>
        <v>0</v>
      </c>
    </row>
    <row r="81" spans="1:37" x14ac:dyDescent="0.25">
      <c r="A81" s="2">
        <v>76</v>
      </c>
      <c r="B81" s="2">
        <f>Annual_Report!B77</f>
        <v>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4">
        <f t="shared" si="9"/>
        <v>0</v>
      </c>
      <c r="AI81" s="4">
        <f t="shared" si="10"/>
        <v>0</v>
      </c>
      <c r="AJ81" s="4">
        <f t="shared" si="11"/>
        <v>0</v>
      </c>
      <c r="AK81" s="4">
        <f t="shared" si="12"/>
        <v>0</v>
      </c>
    </row>
    <row r="82" spans="1:37" x14ac:dyDescent="0.25">
      <c r="A82" s="2">
        <v>77</v>
      </c>
      <c r="B82" s="2">
        <f>Annual_Report!B78</f>
        <v>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4">
        <f t="shared" si="9"/>
        <v>0</v>
      </c>
      <c r="AI82" s="4">
        <f t="shared" si="10"/>
        <v>0</v>
      </c>
      <c r="AJ82" s="4">
        <f t="shared" si="11"/>
        <v>0</v>
      </c>
      <c r="AK82" s="4">
        <f t="shared" si="12"/>
        <v>0</v>
      </c>
    </row>
    <row r="83" spans="1:37" x14ac:dyDescent="0.25">
      <c r="A83" s="2">
        <v>78</v>
      </c>
      <c r="B83" s="2">
        <f>Annual_Report!B79</f>
        <v>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4">
        <f t="shared" si="9"/>
        <v>0</v>
      </c>
      <c r="AI83" s="4">
        <f t="shared" si="10"/>
        <v>0</v>
      </c>
      <c r="AJ83" s="4">
        <f t="shared" si="11"/>
        <v>0</v>
      </c>
      <c r="AK83" s="4">
        <f t="shared" si="12"/>
        <v>0</v>
      </c>
    </row>
    <row r="84" spans="1:37" x14ac:dyDescent="0.25">
      <c r="A84" s="2">
        <v>79</v>
      </c>
      <c r="B84" s="2">
        <f>Annual_Report!B80</f>
        <v>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4">
        <f t="shared" si="9"/>
        <v>0</v>
      </c>
      <c r="AI84" s="4">
        <f t="shared" si="10"/>
        <v>0</v>
      </c>
      <c r="AJ84" s="4">
        <f t="shared" si="11"/>
        <v>0</v>
      </c>
      <c r="AK84" s="4">
        <f t="shared" si="12"/>
        <v>0</v>
      </c>
    </row>
    <row r="85" spans="1:37" x14ac:dyDescent="0.25">
      <c r="A85" s="2">
        <v>80</v>
      </c>
      <c r="B85" s="2">
        <f>Annual_Report!B81</f>
        <v>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4">
        <f t="shared" si="9"/>
        <v>0</v>
      </c>
      <c r="AI85" s="4">
        <f t="shared" si="10"/>
        <v>0</v>
      </c>
      <c r="AJ85" s="4">
        <f t="shared" si="11"/>
        <v>0</v>
      </c>
      <c r="AK85" s="4">
        <f t="shared" si="12"/>
        <v>0</v>
      </c>
    </row>
    <row r="86" spans="1:37" x14ac:dyDescent="0.25">
      <c r="A86" s="2">
        <v>81</v>
      </c>
      <c r="B86" s="2">
        <f>Annual_Report!B82</f>
        <v>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4">
        <f t="shared" si="9"/>
        <v>0</v>
      </c>
      <c r="AI86" s="4">
        <f t="shared" si="10"/>
        <v>0</v>
      </c>
      <c r="AJ86" s="4">
        <f t="shared" si="11"/>
        <v>0</v>
      </c>
      <c r="AK86" s="4">
        <f t="shared" si="12"/>
        <v>0</v>
      </c>
    </row>
    <row r="87" spans="1:37" x14ac:dyDescent="0.25">
      <c r="A87" s="2">
        <v>82</v>
      </c>
      <c r="B87" s="2">
        <f>Annual_Report!B83</f>
        <v>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4">
        <f t="shared" si="9"/>
        <v>0</v>
      </c>
      <c r="AI87" s="4">
        <f t="shared" si="10"/>
        <v>0</v>
      </c>
      <c r="AJ87" s="4">
        <f t="shared" si="11"/>
        <v>0</v>
      </c>
      <c r="AK87" s="4">
        <f t="shared" si="12"/>
        <v>0</v>
      </c>
    </row>
    <row r="88" spans="1:37" x14ac:dyDescent="0.25">
      <c r="A88" s="2">
        <v>83</v>
      </c>
      <c r="B88" s="2">
        <f>Annual_Report!B84</f>
        <v>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4">
        <f t="shared" si="9"/>
        <v>0</v>
      </c>
      <c r="AI88" s="4">
        <f t="shared" si="10"/>
        <v>0</v>
      </c>
      <c r="AJ88" s="4">
        <f t="shared" si="11"/>
        <v>0</v>
      </c>
      <c r="AK88" s="4">
        <f t="shared" si="12"/>
        <v>0</v>
      </c>
    </row>
    <row r="89" spans="1:37" x14ac:dyDescent="0.25">
      <c r="A89" s="2">
        <v>84</v>
      </c>
      <c r="B89" s="2">
        <f>Annual_Report!B85</f>
        <v>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4">
        <f t="shared" si="9"/>
        <v>0</v>
      </c>
      <c r="AI89" s="4">
        <f t="shared" si="10"/>
        <v>0</v>
      </c>
      <c r="AJ89" s="4">
        <f t="shared" si="11"/>
        <v>0</v>
      </c>
      <c r="AK89" s="4">
        <f t="shared" si="12"/>
        <v>0</v>
      </c>
    </row>
    <row r="90" spans="1:37" x14ac:dyDescent="0.25">
      <c r="A90" s="2">
        <v>85</v>
      </c>
      <c r="B90" s="2">
        <f>Annual_Report!B86</f>
        <v>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4">
        <f t="shared" si="9"/>
        <v>0</v>
      </c>
      <c r="AI90" s="4">
        <f t="shared" si="10"/>
        <v>0</v>
      </c>
      <c r="AJ90" s="4">
        <f t="shared" si="11"/>
        <v>0</v>
      </c>
      <c r="AK90" s="4">
        <f t="shared" si="12"/>
        <v>0</v>
      </c>
    </row>
    <row r="91" spans="1:37" x14ac:dyDescent="0.25">
      <c r="A91" s="2">
        <v>86</v>
      </c>
      <c r="B91" s="2">
        <f>Annual_Report!B87</f>
        <v>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4">
        <f t="shared" si="9"/>
        <v>0</v>
      </c>
      <c r="AI91" s="4">
        <f t="shared" si="10"/>
        <v>0</v>
      </c>
      <c r="AJ91" s="4">
        <f t="shared" si="11"/>
        <v>0</v>
      </c>
      <c r="AK91" s="4">
        <f t="shared" si="12"/>
        <v>0</v>
      </c>
    </row>
    <row r="92" spans="1:37" x14ac:dyDescent="0.25">
      <c r="A92" s="2">
        <v>87</v>
      </c>
      <c r="B92" s="2">
        <f>Annual_Report!B88</f>
        <v>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4">
        <f t="shared" si="9"/>
        <v>0</v>
      </c>
      <c r="AI92" s="4">
        <f t="shared" si="10"/>
        <v>0</v>
      </c>
      <c r="AJ92" s="4">
        <f t="shared" si="11"/>
        <v>0</v>
      </c>
      <c r="AK92" s="4">
        <f t="shared" si="12"/>
        <v>0</v>
      </c>
    </row>
    <row r="93" spans="1:37" x14ac:dyDescent="0.25">
      <c r="A93" s="2">
        <v>88</v>
      </c>
      <c r="B93" s="2">
        <f>Annual_Report!B89</f>
        <v>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4">
        <f t="shared" si="9"/>
        <v>0</v>
      </c>
      <c r="AI93" s="4">
        <f t="shared" si="10"/>
        <v>0</v>
      </c>
      <c r="AJ93" s="4">
        <f t="shared" si="11"/>
        <v>0</v>
      </c>
      <c r="AK93" s="4">
        <f t="shared" si="12"/>
        <v>0</v>
      </c>
    </row>
    <row r="94" spans="1:37" x14ac:dyDescent="0.25">
      <c r="A94" s="2">
        <v>89</v>
      </c>
      <c r="B94" s="2">
        <f>Annual_Report!B90</f>
        <v>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4">
        <f t="shared" si="9"/>
        <v>0</v>
      </c>
      <c r="AI94" s="4">
        <f t="shared" si="10"/>
        <v>0</v>
      </c>
      <c r="AJ94" s="4">
        <f t="shared" si="11"/>
        <v>0</v>
      </c>
      <c r="AK94" s="4">
        <f t="shared" si="12"/>
        <v>0</v>
      </c>
    </row>
    <row r="95" spans="1:37" x14ac:dyDescent="0.25">
      <c r="A95" s="2">
        <v>90</v>
      </c>
      <c r="B95" s="2">
        <f>Annual_Report!B91</f>
        <v>0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4">
        <f t="shared" si="9"/>
        <v>0</v>
      </c>
      <c r="AI95" s="4">
        <f t="shared" si="10"/>
        <v>0</v>
      </c>
      <c r="AJ95" s="4">
        <f t="shared" si="11"/>
        <v>0</v>
      </c>
      <c r="AK95" s="4">
        <f t="shared" si="12"/>
        <v>0</v>
      </c>
    </row>
    <row r="96" spans="1:37" x14ac:dyDescent="0.25">
      <c r="A96" s="2">
        <v>91</v>
      </c>
      <c r="B96" s="2">
        <f>Annual_Report!B92</f>
        <v>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4">
        <f t="shared" si="9"/>
        <v>0</v>
      </c>
      <c r="AI96" s="4">
        <f t="shared" si="10"/>
        <v>0</v>
      </c>
      <c r="AJ96" s="4">
        <f t="shared" si="11"/>
        <v>0</v>
      </c>
      <c r="AK96" s="4">
        <f t="shared" si="12"/>
        <v>0</v>
      </c>
    </row>
    <row r="97" spans="1:37" x14ac:dyDescent="0.25">
      <c r="A97" s="2">
        <v>92</v>
      </c>
      <c r="B97" s="2">
        <f>Annual_Report!B93</f>
        <v>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4">
        <f t="shared" si="9"/>
        <v>0</v>
      </c>
      <c r="AI97" s="4">
        <f t="shared" si="10"/>
        <v>0</v>
      </c>
      <c r="AJ97" s="4">
        <f t="shared" si="11"/>
        <v>0</v>
      </c>
      <c r="AK97" s="4">
        <f t="shared" si="12"/>
        <v>0</v>
      </c>
    </row>
    <row r="98" spans="1:37" x14ac:dyDescent="0.25">
      <c r="A98" s="2">
        <v>93</v>
      </c>
      <c r="B98" s="2">
        <f>Annual_Report!B94</f>
        <v>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4">
        <f t="shared" si="9"/>
        <v>0</v>
      </c>
      <c r="AI98" s="4">
        <f t="shared" si="10"/>
        <v>0</v>
      </c>
      <c r="AJ98" s="4">
        <f t="shared" si="11"/>
        <v>0</v>
      </c>
      <c r="AK98" s="4">
        <f t="shared" si="12"/>
        <v>0</v>
      </c>
    </row>
    <row r="99" spans="1:37" x14ac:dyDescent="0.25">
      <c r="A99" s="2">
        <v>94</v>
      </c>
      <c r="B99" s="2">
        <f>Annual_Report!B95</f>
        <v>0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4">
        <f t="shared" si="9"/>
        <v>0</v>
      </c>
      <c r="AI99" s="4">
        <f t="shared" si="10"/>
        <v>0</v>
      </c>
      <c r="AJ99" s="4">
        <f t="shared" si="11"/>
        <v>0</v>
      </c>
      <c r="AK99" s="4">
        <f t="shared" si="12"/>
        <v>0</v>
      </c>
    </row>
    <row r="100" spans="1:37" x14ac:dyDescent="0.25">
      <c r="A100" s="2">
        <v>95</v>
      </c>
      <c r="B100" s="2">
        <f>Annual_Report!B96</f>
        <v>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4">
        <f t="shared" si="9"/>
        <v>0</v>
      </c>
      <c r="AI100" s="4">
        <f t="shared" si="10"/>
        <v>0</v>
      </c>
      <c r="AJ100" s="4">
        <f t="shared" si="11"/>
        <v>0</v>
      </c>
      <c r="AK100" s="4">
        <f t="shared" si="12"/>
        <v>0</v>
      </c>
    </row>
    <row r="101" spans="1:37" x14ac:dyDescent="0.25">
      <c r="A101" s="2">
        <v>96</v>
      </c>
      <c r="B101" s="2">
        <f>Annual_Report!B97</f>
        <v>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4">
        <f t="shared" si="9"/>
        <v>0</v>
      </c>
      <c r="AI101" s="4">
        <f t="shared" si="10"/>
        <v>0</v>
      </c>
      <c r="AJ101" s="4">
        <f t="shared" si="11"/>
        <v>0</v>
      </c>
      <c r="AK101" s="4">
        <f t="shared" si="12"/>
        <v>0</v>
      </c>
    </row>
    <row r="102" spans="1:37" x14ac:dyDescent="0.25">
      <c r="A102" s="2">
        <v>97</v>
      </c>
      <c r="B102" s="2">
        <f>Annual_Report!B98</f>
        <v>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4">
        <f t="shared" si="9"/>
        <v>0</v>
      </c>
      <c r="AI102" s="4">
        <f t="shared" si="10"/>
        <v>0</v>
      </c>
      <c r="AJ102" s="4">
        <f t="shared" si="11"/>
        <v>0</v>
      </c>
      <c r="AK102" s="4">
        <f t="shared" si="12"/>
        <v>0</v>
      </c>
    </row>
    <row r="103" spans="1:37" x14ac:dyDescent="0.25">
      <c r="A103" s="2">
        <v>98</v>
      </c>
      <c r="B103" s="2">
        <f>Annual_Report!B99</f>
        <v>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4">
        <f t="shared" si="9"/>
        <v>0</v>
      </c>
      <c r="AI103" s="4">
        <f t="shared" si="10"/>
        <v>0</v>
      </c>
      <c r="AJ103" s="4">
        <f t="shared" si="11"/>
        <v>0</v>
      </c>
      <c r="AK103" s="4">
        <f t="shared" si="12"/>
        <v>0</v>
      </c>
    </row>
    <row r="104" spans="1:37" x14ac:dyDescent="0.25">
      <c r="A104" s="2">
        <v>99</v>
      </c>
      <c r="B104" s="2">
        <f>Annual_Report!B100</f>
        <v>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4">
        <f t="shared" si="9"/>
        <v>0</v>
      </c>
      <c r="AI104" s="4">
        <f t="shared" si="10"/>
        <v>0</v>
      </c>
      <c r="AJ104" s="4">
        <f t="shared" si="11"/>
        <v>0</v>
      </c>
      <c r="AK104" s="4">
        <f t="shared" si="12"/>
        <v>0</v>
      </c>
    </row>
    <row r="105" spans="1:37" x14ac:dyDescent="0.25">
      <c r="A105" s="2">
        <v>100</v>
      </c>
      <c r="B105" s="2">
        <f>Annual_Report!B101</f>
        <v>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4">
        <f t="shared" si="9"/>
        <v>0</v>
      </c>
      <c r="AI105" s="4">
        <f t="shared" si="10"/>
        <v>0</v>
      </c>
      <c r="AJ105" s="4">
        <f t="shared" si="11"/>
        <v>0</v>
      </c>
      <c r="AK105" s="4">
        <f t="shared" si="12"/>
        <v>0</v>
      </c>
    </row>
  </sheetData>
  <conditionalFormatting sqref="C6:AG105">
    <cfRule type="cellIs" dxfId="5" priority="1" stopIfTrue="1" operator="equal">
      <formula>"ح"</formula>
    </cfRule>
    <cfRule type="cellIs" dxfId="4" priority="2" stopIfTrue="1" operator="equal">
      <formula>"غ"</formula>
    </cfRule>
    <cfRule type="cellIs" dxfId="3" priority="3" stopIfTrue="1" operator="equal">
      <formula>"ج"</formula>
    </cfRule>
    <cfRule type="cellIs" dxfId="2" priority="4" stopIfTrue="1" operator="equal">
      <formula>"م"</formula>
    </cfRule>
    <cfRule type="cellIs" dxfId="1" priority="5" stopIfTrue="1" operator="equal">
      <formula>"ج"</formula>
    </cfRule>
    <cfRule type="cellIs" dxfId="0" priority="6" stopIfTrue="1" operator="equal">
      <formula>"م"</formula>
    </cfRule>
  </conditionalFormatting>
  <dataValidations count="1">
    <dataValidation type="list" allowBlank="1" showErrorMessage="1" errorTitle="خطأ في الإدخال" error="يرجى استخدام الحروف الصحيحة: ح - غ - ج - م" sqref="C6:AG105" xr:uid="{29292D19-4D17-41C5-A5D8-8CC0AC6E95C5}">
      <formula1>"ح,غ,ج,م"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E80CB-0769-4C48-BC8B-FA24F74308FC}">
  <sheetPr codeName="Sheet2"/>
  <dimension ref="B2:D10"/>
  <sheetViews>
    <sheetView showGridLines="0" rightToLeft="1" workbookViewId="0">
      <selection activeCell="C4" sqref="C4"/>
    </sheetView>
  </sheetViews>
  <sheetFormatPr defaultRowHeight="15" x14ac:dyDescent="0.25"/>
  <cols>
    <col min="2" max="2" width="14.42578125" bestFit="1" customWidth="1"/>
    <col min="3" max="3" width="8.28515625" bestFit="1" customWidth="1"/>
    <col min="4" max="4" width="6.85546875" bestFit="1" customWidth="1"/>
  </cols>
  <sheetData>
    <row r="2" spans="2:4" ht="26.25" x14ac:dyDescent="0.4">
      <c r="B2" s="19" t="s">
        <v>16</v>
      </c>
      <c r="C2" s="19"/>
      <c r="D2" s="19"/>
    </row>
    <row r="3" spans="2:4" x14ac:dyDescent="0.25">
      <c r="B3" s="8"/>
      <c r="C3" s="8"/>
      <c r="D3" s="8"/>
    </row>
    <row r="4" spans="2:4" x14ac:dyDescent="0.25">
      <c r="B4" s="12" t="s">
        <v>20</v>
      </c>
      <c r="C4" s="13"/>
      <c r="D4" s="8"/>
    </row>
    <row r="5" spans="2:4" x14ac:dyDescent="0.25">
      <c r="B5" s="8"/>
      <c r="C5" s="8"/>
      <c r="D5" s="8"/>
    </row>
    <row r="6" spans="2:4" x14ac:dyDescent="0.25">
      <c r="B6" s="16" t="s">
        <v>17</v>
      </c>
      <c r="C6" s="16" t="s">
        <v>18</v>
      </c>
      <c r="D6" s="16" t="s">
        <v>19</v>
      </c>
    </row>
    <row r="7" spans="2:4" x14ac:dyDescent="0.25">
      <c r="B7" s="14" t="s">
        <v>0</v>
      </c>
      <c r="C7" s="14" t="e">
        <f>VLOOKUP($C$4, Annual_Report!$B$2:$F$101, 2, 0)</f>
        <v>#N/A</v>
      </c>
      <c r="D7" s="15" t="e">
        <f>IF(SUM($C$7:$C$10)=0, 0, C7/SUM($C$7:$C$10))</f>
        <v>#N/A</v>
      </c>
    </row>
    <row r="8" spans="2:4" x14ac:dyDescent="0.25">
      <c r="B8" s="14" t="s">
        <v>1</v>
      </c>
      <c r="C8" s="14" t="e">
        <f>VLOOKUP($C$4, Annual_Report!$B$2:$F$101, 3, 0)</f>
        <v>#N/A</v>
      </c>
      <c r="D8" s="15" t="e">
        <f>IF(SUM($C$7:$C$10)=0, 0, C8/SUM($C$7:$C$10))</f>
        <v>#N/A</v>
      </c>
    </row>
    <row r="9" spans="2:4" x14ac:dyDescent="0.25">
      <c r="B9" s="14" t="s">
        <v>10</v>
      </c>
      <c r="C9" s="14" t="e">
        <f>VLOOKUP($C$4, Annual_Report!$B$2:$F$101, 4, 0)</f>
        <v>#N/A</v>
      </c>
      <c r="D9" s="15" t="e">
        <f>IF(SUM($C$7:$C$10)=0, 0, C9/SUM($C$7:$C$10))</f>
        <v>#N/A</v>
      </c>
    </row>
    <row r="10" spans="2:4" x14ac:dyDescent="0.25">
      <c r="B10" s="14" t="s">
        <v>11</v>
      </c>
      <c r="C10" s="14" t="e">
        <f>VLOOKUP($C$4, Annual_Report!$B$2:$F$101, 5, 0)</f>
        <v>#N/A</v>
      </c>
      <c r="D10" s="15" t="e">
        <f>IF(SUM($C$7:$C$10)=0, 0, C10/SUM($C$7:$C$10))</f>
        <v>#N/A</v>
      </c>
    </row>
  </sheetData>
  <mergeCells count="1">
    <mergeCell ref="B2:D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244445-BFA2-4F3C-99B2-E522155880F1}">
          <x14:formula1>
            <xm:f>Annual_Report!$B$2:$B$101</xm:f>
          </x14:formula1>
          <xm:sqref>C4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Annual_Report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Mohamed Mohalhal Ahmed</dc:creator>
  <cp:lastModifiedBy>Ahmed Mohamed Mohalhal Ahmed</cp:lastModifiedBy>
  <dcterms:created xsi:type="dcterms:W3CDTF">2026-04-21T14:24:37Z</dcterms:created>
  <dcterms:modified xsi:type="dcterms:W3CDTF">2026-04-21T19:26:39Z</dcterms:modified>
</cp:coreProperties>
</file>