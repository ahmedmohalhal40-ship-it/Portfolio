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tc\Downloads\"/>
    </mc:Choice>
  </mc:AlternateContent>
  <xr:revisionPtr revIDLastSave="0" documentId="8_{12B2C875-4FBD-304B-9729-C511B3AE907F}" xr6:coauthVersionLast="47" xr6:coauthVersionMax="47" xr10:uidLastSave="{00000000-0000-0000-0000-000000000000}"/>
  <bookViews>
    <workbookView xWindow="-120" yWindow="-120" windowWidth="20730" windowHeight="11040" tabRatio="728" activeTab="4" xr2:uid="{C60D14B9-86AC-0346-B8FB-9B97DABAACB8}"/>
  </bookViews>
  <sheets>
    <sheet name="اليومية الامريكية" sheetId="1" r:id="rId1"/>
    <sheet name="ميزان المراجعة " sheetId="2" r:id="rId2"/>
    <sheet name="الإيضاحات المتممة" sheetId="3" r:id="rId3"/>
    <sheet name="قائمة الدخل" sheetId="4" r:id="rId4"/>
    <sheet name="قائمة المركز المالي 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5" l="1"/>
  <c r="B15" i="5"/>
  <c r="B33" i="5"/>
  <c r="H5" i="2"/>
  <c r="H4" i="2"/>
  <c r="B11" i="5"/>
  <c r="B10" i="5"/>
  <c r="B39" i="3"/>
  <c r="B4" i="4"/>
  <c r="B15" i="3"/>
  <c r="G12" i="2"/>
  <c r="G13" i="2"/>
  <c r="B52" i="3"/>
  <c r="G10" i="2"/>
  <c r="B21" i="5"/>
  <c r="F7" i="2"/>
  <c r="F9" i="2"/>
  <c r="F4" i="2"/>
  <c r="B30" i="5"/>
  <c r="B65" i="3"/>
  <c r="B34" i="3"/>
  <c r="B29" i="3"/>
  <c r="B7" i="3"/>
  <c r="B4" i="5"/>
  <c r="B8" i="5"/>
  <c r="B12" i="3"/>
  <c r="C26" i="2"/>
  <c r="B26" i="2"/>
  <c r="G9" i="2"/>
  <c r="B12" i="5"/>
  <c r="B43" i="3"/>
  <c r="F10" i="2"/>
  <c r="F13" i="2"/>
  <c r="E11" i="1"/>
  <c r="F3" i="1"/>
  <c r="F11" i="1"/>
  <c r="F12" i="1"/>
  <c r="F13" i="1"/>
  <c r="F14" i="1"/>
  <c r="F15" i="1"/>
  <c r="E12" i="1"/>
  <c r="E13" i="1"/>
  <c r="E14" i="1"/>
  <c r="E15" i="1"/>
  <c r="F4" i="1"/>
  <c r="F5" i="1"/>
  <c r="F6" i="1"/>
  <c r="F7" i="1"/>
  <c r="F8" i="1"/>
  <c r="F9" i="1"/>
  <c r="E4" i="1"/>
  <c r="E5" i="1"/>
  <c r="E6" i="1"/>
  <c r="E7" i="1"/>
  <c r="E8" i="1"/>
  <c r="E9" i="1"/>
  <c r="E10" i="1"/>
  <c r="E3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U18" i="1"/>
  <c r="D25" i="2"/>
  <c r="V16" i="1"/>
  <c r="W16" i="1"/>
  <c r="X16" i="1"/>
  <c r="Y16" i="1"/>
  <c r="Y18" i="1"/>
  <c r="D8" i="2"/>
  <c r="Z16" i="1"/>
  <c r="AA16" i="1"/>
  <c r="AB16" i="1"/>
  <c r="AC16" i="1"/>
  <c r="AC18" i="1"/>
  <c r="D21" i="2"/>
  <c r="F21" i="2"/>
  <c r="B48" i="3"/>
  <c r="AD16" i="1"/>
  <c r="AE16" i="1"/>
  <c r="AF16" i="1"/>
  <c r="AF18" i="1"/>
  <c r="E22" i="2"/>
  <c r="AG16" i="1"/>
  <c r="AG18" i="1"/>
  <c r="AH16" i="1"/>
  <c r="AI16" i="1"/>
  <c r="AJ16" i="1"/>
  <c r="AK16" i="1"/>
  <c r="AL16" i="1"/>
  <c r="G10" i="1"/>
  <c r="G18" i="1"/>
  <c r="D5" i="2"/>
  <c r="H10" i="1"/>
  <c r="I10" i="1"/>
  <c r="I18" i="1"/>
  <c r="D6" i="2"/>
  <c r="J10" i="1"/>
  <c r="K10" i="1"/>
  <c r="K18" i="1"/>
  <c r="D14" i="2"/>
  <c r="L10" i="1"/>
  <c r="L18" i="1"/>
  <c r="E14" i="2"/>
  <c r="M10" i="1"/>
  <c r="N10" i="1"/>
  <c r="N18" i="1"/>
  <c r="E17" i="2"/>
  <c r="O10" i="1"/>
  <c r="O18" i="1"/>
  <c r="D19" i="2"/>
  <c r="P10" i="1"/>
  <c r="P18" i="1"/>
  <c r="E20" i="2"/>
  <c r="Q10" i="1"/>
  <c r="Q18" i="1"/>
  <c r="D15" i="2"/>
  <c r="R10" i="1"/>
  <c r="S10" i="1"/>
  <c r="S18" i="1"/>
  <c r="T10" i="1"/>
  <c r="T18" i="1"/>
  <c r="E16" i="2"/>
  <c r="U10" i="1"/>
  <c r="V10" i="1"/>
  <c r="V18" i="1"/>
  <c r="E25" i="2"/>
  <c r="W10" i="1"/>
  <c r="W18" i="1"/>
  <c r="D11" i="2"/>
  <c r="X10" i="1"/>
  <c r="X18" i="1"/>
  <c r="E11" i="2"/>
  <c r="G11" i="2"/>
  <c r="Y10" i="1"/>
  <c r="Z10" i="1"/>
  <c r="Z18" i="1"/>
  <c r="E8" i="2"/>
  <c r="AA10" i="1"/>
  <c r="AA18" i="1"/>
  <c r="D18" i="2"/>
  <c r="AB10" i="1"/>
  <c r="AB18" i="1"/>
  <c r="E18" i="2"/>
  <c r="AC10" i="1"/>
  <c r="AD10" i="1"/>
  <c r="AD18" i="1"/>
  <c r="E21" i="2"/>
  <c r="AE10" i="1"/>
  <c r="AE18" i="1"/>
  <c r="D22" i="2"/>
  <c r="AF10" i="1"/>
  <c r="AG10" i="1"/>
  <c r="AH10" i="1"/>
  <c r="AI10" i="1"/>
  <c r="AI18" i="1"/>
  <c r="D23" i="2"/>
  <c r="F23" i="2"/>
  <c r="B15" i="4"/>
  <c r="AJ10" i="1"/>
  <c r="AJ18" i="1"/>
  <c r="E23" i="2"/>
  <c r="AK10" i="1"/>
  <c r="AK18" i="1"/>
  <c r="D24" i="2"/>
  <c r="AL10" i="1"/>
  <c r="AL18" i="1"/>
  <c r="E24" i="2"/>
  <c r="A4" i="1"/>
  <c r="A5" i="1"/>
  <c r="A6" i="1"/>
  <c r="A7" i="1"/>
  <c r="A8" i="1"/>
  <c r="A9" i="1"/>
  <c r="A12" i="1"/>
  <c r="A13" i="1"/>
  <c r="A14" i="1"/>
  <c r="A15" i="1"/>
  <c r="M18" i="1"/>
  <c r="D17" i="2"/>
  <c r="R18" i="1"/>
  <c r="E15" i="2"/>
  <c r="J18" i="1"/>
  <c r="B32" i="5"/>
  <c r="F10" i="1"/>
  <c r="AH18" i="1"/>
  <c r="F5" i="2"/>
  <c r="F8" i="2"/>
  <c r="F14" i="2"/>
  <c r="D16" i="2"/>
  <c r="G16" i="2"/>
  <c r="B20" i="3"/>
  <c r="E16" i="1"/>
  <c r="G18" i="2"/>
  <c r="E18" i="1"/>
  <c r="F19" i="2"/>
  <c r="B47" i="3"/>
  <c r="F25" i="2"/>
  <c r="B23" i="3"/>
  <c r="G20" i="2"/>
  <c r="B56" i="3"/>
  <c r="B57" i="3"/>
  <c r="B37" i="5"/>
  <c r="F22" i="2"/>
  <c r="G24" i="2"/>
  <c r="F15" i="2"/>
  <c r="B37" i="3"/>
  <c r="B40" i="3"/>
  <c r="B6" i="4"/>
  <c r="H18" i="1"/>
  <c r="E5" i="2"/>
  <c r="F16" i="1"/>
  <c r="F18" i="1"/>
  <c r="F17" i="2"/>
  <c r="B46" i="3"/>
  <c r="B49" i="3"/>
  <c r="B13" i="5"/>
  <c r="D26" i="2"/>
  <c r="E6" i="2"/>
  <c r="F6" i="2"/>
  <c r="B16" i="3"/>
  <c r="B38" i="5"/>
  <c r="G26" i="2"/>
  <c r="B24" i="3"/>
  <c r="B7" i="4"/>
  <c r="B20" i="4"/>
  <c r="B24" i="5"/>
  <c r="B26" i="5"/>
  <c r="B39" i="5"/>
  <c r="B17" i="3"/>
  <c r="B16" i="5"/>
  <c r="B17" i="5"/>
  <c r="E26" i="2"/>
  <c r="F26" i="2"/>
  <c r="B18" i="5"/>
</calcChain>
</file>

<file path=xl/sharedStrings.xml><?xml version="1.0" encoding="utf-8"?>
<sst xmlns="http://schemas.openxmlformats.org/spreadsheetml/2006/main" count="258" uniqueCount="157">
  <si>
    <t xml:space="preserve">التسلسل </t>
  </si>
  <si>
    <t xml:space="preserve">التاريخ </t>
  </si>
  <si>
    <t xml:space="preserve">البيان </t>
  </si>
  <si>
    <t xml:space="preserve">رقم القيد </t>
  </si>
  <si>
    <t xml:space="preserve">مدين </t>
  </si>
  <si>
    <t xml:space="preserve">دائن </t>
  </si>
  <si>
    <t xml:space="preserve">الإجمالي </t>
  </si>
  <si>
    <t xml:space="preserve">إجمالي شهر يناير </t>
  </si>
  <si>
    <t xml:space="preserve">إجمالي شهر فبراير </t>
  </si>
  <si>
    <t xml:space="preserve">إجمالي الشهور </t>
  </si>
  <si>
    <t xml:space="preserve">عملية شراء بضاعة </t>
  </si>
  <si>
    <t>شراء بضاعة</t>
  </si>
  <si>
    <t>بيع بضاعة</t>
  </si>
  <si>
    <t>سداد مورد</t>
  </si>
  <si>
    <t xml:space="preserve">سداد عميل </t>
  </si>
  <si>
    <t>استعاضة عهدة</t>
  </si>
  <si>
    <t>تسوية عهدة</t>
  </si>
  <si>
    <t xml:space="preserve">اهلاك مدة </t>
  </si>
  <si>
    <t xml:space="preserve">الصندوق </t>
  </si>
  <si>
    <t>دائن</t>
  </si>
  <si>
    <t xml:space="preserve">البنك </t>
  </si>
  <si>
    <t xml:space="preserve">المخزون </t>
  </si>
  <si>
    <t xml:space="preserve">ضريبة القيمة المضافة </t>
  </si>
  <si>
    <t xml:space="preserve">تكلفة المبيعات </t>
  </si>
  <si>
    <t xml:space="preserve">المبيعات </t>
  </si>
  <si>
    <t xml:space="preserve">خصم مسموح به </t>
  </si>
  <si>
    <t xml:space="preserve">الموردين </t>
  </si>
  <si>
    <t xml:space="preserve">العملاء </t>
  </si>
  <si>
    <t xml:space="preserve">خصم مكتسب به </t>
  </si>
  <si>
    <t xml:space="preserve">عهدة </t>
  </si>
  <si>
    <t xml:space="preserve">ميزانية عمومية </t>
  </si>
  <si>
    <t xml:space="preserve">الدائنون </t>
  </si>
  <si>
    <t xml:space="preserve">مصروف الاهلاك </t>
  </si>
  <si>
    <t xml:space="preserve">مجمع الاهلاك </t>
  </si>
  <si>
    <t xml:space="preserve">ميزان مراجعة الشركة </t>
  </si>
  <si>
    <t>اول المدة</t>
  </si>
  <si>
    <t xml:space="preserve">الحركة </t>
  </si>
  <si>
    <t xml:space="preserve">الرصيد </t>
  </si>
  <si>
    <t xml:space="preserve">أوراق القبض </t>
  </si>
  <si>
    <t xml:space="preserve">تأمينات لدى الغير </t>
  </si>
  <si>
    <t xml:space="preserve">رأس المال </t>
  </si>
  <si>
    <t xml:space="preserve">موردين </t>
  </si>
  <si>
    <t xml:space="preserve">أوراق الدفع </t>
  </si>
  <si>
    <t xml:space="preserve">تأمينات للغير </t>
  </si>
  <si>
    <t xml:space="preserve">خصم المكتسب به </t>
  </si>
  <si>
    <t xml:space="preserve">ضريبة أرباح تجارية مدينة </t>
  </si>
  <si>
    <t xml:space="preserve">ضريبة أرباح تجارية دائنة </t>
  </si>
  <si>
    <t xml:space="preserve">العهد </t>
  </si>
  <si>
    <t xml:space="preserve">الميزانية العمومية </t>
  </si>
  <si>
    <t xml:space="preserve">الأصول الثابتة </t>
  </si>
  <si>
    <t>ضريبة أرباح تجارية</t>
  </si>
  <si>
    <t>الإيضاحات المتممة للشركة</t>
  </si>
  <si>
    <t>ر.س</t>
  </si>
  <si>
    <t xml:space="preserve">مباني </t>
  </si>
  <si>
    <t xml:space="preserve">سيارات </t>
  </si>
  <si>
    <t xml:space="preserve">الالات </t>
  </si>
  <si>
    <t xml:space="preserve">اثاث </t>
  </si>
  <si>
    <t xml:space="preserve">مشروعات تحت التنفيذ </t>
  </si>
  <si>
    <t xml:space="preserve">تكوين سلعي </t>
  </si>
  <si>
    <t xml:space="preserve">انفاق استمثارية </t>
  </si>
  <si>
    <t xml:space="preserve">نقدية بالبنك والصندوق </t>
  </si>
  <si>
    <t>الصندوق</t>
  </si>
  <si>
    <t xml:space="preserve">صافي الإيرادات </t>
  </si>
  <si>
    <t xml:space="preserve">المبيعات - الإيرادات </t>
  </si>
  <si>
    <t xml:space="preserve">يخصم </t>
  </si>
  <si>
    <t xml:space="preserve">مردودات المبيعات </t>
  </si>
  <si>
    <t xml:space="preserve">الخصم المسموح به </t>
  </si>
  <si>
    <t xml:space="preserve">أصول أخرى غير ملموسة </t>
  </si>
  <si>
    <t xml:space="preserve">شهرة </t>
  </si>
  <si>
    <t xml:space="preserve">حق امتياز </t>
  </si>
  <si>
    <t>بنوك دائنة</t>
  </si>
  <si>
    <t>سحب على المكشوف</t>
  </si>
  <si>
    <t xml:space="preserve">تسهيلات ائتمانية </t>
  </si>
  <si>
    <t xml:space="preserve">تكلفة المبيعات جرد مستمر </t>
  </si>
  <si>
    <t xml:space="preserve">خصم مكتسب </t>
  </si>
  <si>
    <t>مدينون وارصدة مدينة أخرى</t>
  </si>
  <si>
    <t xml:space="preserve">مصروف مقدم </t>
  </si>
  <si>
    <t>إيرادات مستحقة</t>
  </si>
  <si>
    <t>ضريبة القيمة المضافة</t>
  </si>
  <si>
    <t>ضريبة أرباح تجارية مدينة</t>
  </si>
  <si>
    <t xml:space="preserve">عهد وسلف </t>
  </si>
  <si>
    <t>دائنون وارصدة دائنة أخرى</t>
  </si>
  <si>
    <t xml:space="preserve">تأمينات الغير </t>
  </si>
  <si>
    <t>مصروفات مستحقة</t>
  </si>
  <si>
    <t>إيرادات مقدمة</t>
  </si>
  <si>
    <t>ضريبة أرباح تجارية دائنة</t>
  </si>
  <si>
    <t>تكلفة مبيعات جرد دوري</t>
  </si>
  <si>
    <t>مخزون اول المدة</t>
  </si>
  <si>
    <t xml:space="preserve">يضاف مشتريات </t>
  </si>
  <si>
    <t>يخصم الخصم المكتسب</t>
  </si>
  <si>
    <t xml:space="preserve">يخصم مردود مشتريات </t>
  </si>
  <si>
    <t>يخصم مخزون اخر المدة</t>
  </si>
  <si>
    <t xml:space="preserve">قائمة دخل الشركة من </t>
  </si>
  <si>
    <t xml:space="preserve">صافي المبيعات - الإيرادات </t>
  </si>
  <si>
    <t xml:space="preserve">مجمل الربح والخسارة </t>
  </si>
  <si>
    <t xml:space="preserve">يضاف </t>
  </si>
  <si>
    <t>إيرادات أخرى</t>
  </si>
  <si>
    <t>أرباح رأس مالية</t>
  </si>
  <si>
    <t>فروق عملة دائنة</t>
  </si>
  <si>
    <t>فوائد دائنة</t>
  </si>
  <si>
    <t>مصاريف تسويقية</t>
  </si>
  <si>
    <t>مصروفات اهلاك</t>
  </si>
  <si>
    <t>خسارة رأس مالية</t>
  </si>
  <si>
    <t>خسائر انخفاض القيمة</t>
  </si>
  <si>
    <t>فروق عملة مدينة</t>
  </si>
  <si>
    <t>فوائد مدينة</t>
  </si>
  <si>
    <t xml:space="preserve">صافي  الربح - الخسارة </t>
  </si>
  <si>
    <t xml:space="preserve">05/02/2023 المركز المالي </t>
  </si>
  <si>
    <t>الأصول غير المتداولة</t>
  </si>
  <si>
    <t xml:space="preserve">الأصول الثابتة بالصافي </t>
  </si>
  <si>
    <t xml:space="preserve">استثمارات طويلة الأجل </t>
  </si>
  <si>
    <t xml:space="preserve">أصول أخرى </t>
  </si>
  <si>
    <t xml:space="preserve">اجمالي الأصول الغير متداولة </t>
  </si>
  <si>
    <t>الأصول  المتداولة</t>
  </si>
  <si>
    <t>العملاء</t>
  </si>
  <si>
    <t xml:space="preserve">استمثارات قصيرة الاجل </t>
  </si>
  <si>
    <t xml:space="preserve">اجمالي الأصول  متداولة </t>
  </si>
  <si>
    <t xml:space="preserve">اجمالي الأصول </t>
  </si>
  <si>
    <t>الإلتزامات الغير متداولة وحقوق الملكية</t>
  </si>
  <si>
    <t>حقوق ملكية</t>
  </si>
  <si>
    <t xml:space="preserve">راس المال </t>
  </si>
  <si>
    <t xml:space="preserve"> جاري الشركاء</t>
  </si>
  <si>
    <t xml:space="preserve">أرباح وخسائر مرحلة </t>
  </si>
  <si>
    <t xml:space="preserve">أرباح وخسائر العام  </t>
  </si>
  <si>
    <t>احتياطات</t>
  </si>
  <si>
    <t>إجمالي حقوق الملكية</t>
  </si>
  <si>
    <t>الالتزامات الغير متداولة</t>
  </si>
  <si>
    <t>قروض</t>
  </si>
  <si>
    <t xml:space="preserve">سندات </t>
  </si>
  <si>
    <t>اجمالي الالتزامات الغير متداولة</t>
  </si>
  <si>
    <t>الالتزامات متداولة</t>
  </si>
  <si>
    <t xml:space="preserve">موردين - أوراق الدفع </t>
  </si>
  <si>
    <t>مخصصات</t>
  </si>
  <si>
    <t>الجزء المسدد من القرض خلال السنة</t>
  </si>
  <si>
    <t>اجمالي الالتزامات  متداولة</t>
  </si>
  <si>
    <t>اجمالي الإلتزامات وحقوق الملكية</t>
  </si>
  <si>
    <t>@</t>
  </si>
  <si>
    <t>المبيعات - مردودات المبيعات - الخصم المسموح به</t>
  </si>
  <si>
    <t>تكلفة البضاعة المباعة (تحسب من خلال قائمة التكاليف)</t>
  </si>
  <si>
    <t>نطرح منه</t>
  </si>
  <si>
    <t>الناتج</t>
  </si>
  <si>
    <t>أي إيرادات من أنشطة غير المبيعات (خدمات أخرى )</t>
  </si>
  <si>
    <t>الإيرادات الناتجة من بيع الأصول الثابتة</t>
  </si>
  <si>
    <t>أرباح ناتجة من فرق تقييم العملات الأجنبية</t>
  </si>
  <si>
    <t>فوائد مستحقة للشركة لدى الغير</t>
  </si>
  <si>
    <t>طرح</t>
  </si>
  <si>
    <t>مصاريف البيع والتسويق والدعايا والإعلان</t>
  </si>
  <si>
    <t>قسط الإهلاك السنوي للأصول الثابتة</t>
  </si>
  <si>
    <t>قيمة الخسارة من بيع الأصول (إذا كان سعر البيع أقل من قيمته الدفترية)</t>
  </si>
  <si>
    <t>خسائر من انخفاض القيمة الدفترية للأصول (بسبب التقادم أو تلف)</t>
  </si>
  <si>
    <t>صافي خسائر فروق تقييم العملات الأجنبية</t>
  </si>
  <si>
    <t>الفوائد المستحقة على المنشأة مثل فوائد القروض</t>
  </si>
  <si>
    <t>ناتج العمليات السابقة</t>
  </si>
  <si>
    <t>صافي نتائج أعمال المنشأة ويخصم منه الضرائب لاحقًا لحساب (صافي الدخل بعد الضارئب)</t>
  </si>
  <si>
    <t>كيف وصلنا لهذا (كل هذه الأرقام يتم الحصول عليها من ميزان المراجعة والإيضاحات)</t>
  </si>
  <si>
    <t>ميزانية عمومية</t>
  </si>
  <si>
    <t>مجمع الإهلاك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</si>
</sst>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2000401]0"/>
    <numFmt numFmtId="166" formatCode="yyyy\-mm\-dd;@"/>
    <numFmt numFmtId="167" formatCode="dd/mm/yyyy;@"/>
    <numFmt numFmtId="168" formatCode="0.0"/>
    <numFmt numFmtId="169" formatCode="#,##0.0_);[Red]\(#,##0.0\)"/>
    <numFmt numFmtId="170" formatCode="#,##0.00;[Red]#,##0.0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165" fontId="0" fillId="0" borderId="1" xfId="0" applyNumberFormat="1" applyBorder="1"/>
    <xf numFmtId="0" fontId="0" fillId="7" borderId="1" xfId="0" applyFill="1" applyBorder="1"/>
    <xf numFmtId="164" fontId="0" fillId="0" borderId="1" xfId="1" applyFont="1" applyBorder="1"/>
    <xf numFmtId="167" fontId="0" fillId="0" borderId="1" xfId="0" applyNumberFormat="1" applyBorder="1" applyAlignment="1">
      <alignment vertical="top" readingOrder="2"/>
    </xf>
    <xf numFmtId="167" fontId="0" fillId="0" borderId="1" xfId="0" applyNumberFormat="1" applyBorder="1"/>
    <xf numFmtId="0" fontId="0" fillId="0" borderId="5" xfId="0" applyBorder="1"/>
    <xf numFmtId="0" fontId="0" fillId="2" borderId="1" xfId="0" applyFill="1" applyBorder="1"/>
    <xf numFmtId="0" fontId="0" fillId="3" borderId="5" xfId="0" applyFill="1" applyBorder="1"/>
    <xf numFmtId="0" fontId="0" fillId="3" borderId="4" xfId="0" applyFill="1" applyBorder="1"/>
    <xf numFmtId="164" fontId="0" fillId="0" borderId="0" xfId="1" applyFont="1"/>
    <xf numFmtId="2" fontId="0" fillId="0" borderId="1" xfId="1" applyNumberFormat="1" applyFont="1" applyBorder="1"/>
    <xf numFmtId="168" fontId="0" fillId="6" borderId="1" xfId="1" applyNumberFormat="1" applyFont="1" applyFill="1" applyBorder="1"/>
    <xf numFmtId="168" fontId="0" fillId="0" borderId="1" xfId="1" applyNumberFormat="1" applyFont="1" applyBorder="1"/>
    <xf numFmtId="168" fontId="0" fillId="3" borderId="1" xfId="1" applyNumberFormat="1" applyFont="1" applyFill="1" applyBorder="1"/>
    <xf numFmtId="168" fontId="0" fillId="3" borderId="3" xfId="1" applyNumberFormat="1" applyFont="1" applyFill="1" applyBorder="1"/>
    <xf numFmtId="168" fontId="0" fillId="0" borderId="5" xfId="0" applyNumberFormat="1" applyBorder="1"/>
    <xf numFmtId="168" fontId="0" fillId="0" borderId="5" xfId="1" applyNumberFormat="1" applyFont="1" applyBorder="1"/>
    <xf numFmtId="168" fontId="0" fillId="4" borderId="1" xfId="1" applyNumberFormat="1" applyFont="1" applyFill="1" applyBorder="1"/>
    <xf numFmtId="2" fontId="0" fillId="2" borderId="1" xfId="1" applyNumberFormat="1" applyFont="1" applyFill="1" applyBorder="1"/>
    <xf numFmtId="2" fontId="0" fillId="0" borderId="0" xfId="1" applyNumberFormat="1" applyFont="1"/>
    <xf numFmtId="0" fontId="0" fillId="3" borderId="1" xfId="0" applyFill="1" applyBorder="1"/>
    <xf numFmtId="0" fontId="0" fillId="0" borderId="7" xfId="0" applyBorder="1"/>
    <xf numFmtId="169" fontId="0" fillId="0" borderId="1" xfId="1" applyNumberFormat="1" applyFont="1" applyBorder="1"/>
    <xf numFmtId="169" fontId="0" fillId="3" borderId="1" xfId="1" applyNumberFormat="1" applyFont="1" applyFill="1" applyBorder="1"/>
    <xf numFmtId="169" fontId="0" fillId="0" borderId="0" xfId="1" applyNumberFormat="1" applyFont="1"/>
    <xf numFmtId="0" fontId="0" fillId="4" borderId="1" xfId="0" applyFill="1" applyBorder="1"/>
    <xf numFmtId="170" fontId="0" fillId="0" borderId="1" xfId="1" applyNumberFormat="1" applyFont="1" applyBorder="1"/>
    <xf numFmtId="170" fontId="0" fillId="2" borderId="1" xfId="1" applyNumberFormat="1" applyFont="1" applyFill="1" applyBorder="1"/>
    <xf numFmtId="40" fontId="0" fillId="0" borderId="1" xfId="1" applyNumberFormat="1" applyFont="1" applyBorder="1"/>
    <xf numFmtId="40" fontId="0" fillId="0" borderId="1" xfId="1" applyNumberFormat="1" applyFont="1" applyBorder="1" applyAlignment="1">
      <alignment vertical="center"/>
    </xf>
    <xf numFmtId="40" fontId="0" fillId="2" borderId="1" xfId="1" applyNumberFormat="1" applyFont="1" applyFill="1" applyBorder="1"/>
    <xf numFmtId="40" fontId="0" fillId="3" borderId="1" xfId="1" applyNumberFormat="1" applyFont="1" applyFill="1" applyBorder="1"/>
    <xf numFmtId="40" fontId="0" fillId="8" borderId="1" xfId="1" applyNumberFormat="1" applyFont="1" applyFill="1" applyBorder="1"/>
    <xf numFmtId="40" fontId="0" fillId="4" borderId="1" xfId="1" applyNumberFormat="1" applyFont="1" applyFill="1" applyBorder="1" applyAlignment="1"/>
    <xf numFmtId="40" fontId="0" fillId="0" borderId="0" xfId="1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0" xfId="0" applyFill="1"/>
    <xf numFmtId="3" fontId="0" fillId="0" borderId="1" xfId="1" applyNumberFormat="1" applyFont="1" applyBorder="1"/>
    <xf numFmtId="3" fontId="0" fillId="9" borderId="1" xfId="1" applyNumberFormat="1" applyFont="1" applyFill="1" applyBorder="1"/>
    <xf numFmtId="3" fontId="0" fillId="0" borderId="0" xfId="0" applyNumberFormat="1"/>
    <xf numFmtId="4" fontId="0" fillId="0" borderId="0" xfId="0" applyNumberFormat="1"/>
    <xf numFmtId="40" fontId="0" fillId="0" borderId="0" xfId="0" applyNumberFormat="1"/>
    <xf numFmtId="0" fontId="0" fillId="8" borderId="1" xfId="0" applyFill="1" applyBorder="1"/>
    <xf numFmtId="164" fontId="0" fillId="3" borderId="1" xfId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5" borderId="4" xfId="0" applyFont="1" applyFill="1" applyBorder="1" applyAlignment="1">
      <alignment horizontal="center" readingOrder="2"/>
    </xf>
    <xf numFmtId="0" fontId="0" fillId="2" borderId="1" xfId="0" applyFill="1" applyBorder="1" applyAlignment="1">
      <alignment horizontal="center"/>
    </xf>
    <xf numFmtId="164" fontId="0" fillId="2" borderId="1" xfId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E1D0-AD1C-0046-B0CC-F152CCA8CC6D}">
  <dimension ref="A1:AL19"/>
  <sheetViews>
    <sheetView rightToLeft="1" topLeftCell="A4" zoomScale="127" workbookViewId="0">
      <selection activeCell="A4" sqref="A1:XFD1048576"/>
    </sheetView>
  </sheetViews>
  <sheetFormatPr defaultColWidth="10.7265625" defaultRowHeight="15" x14ac:dyDescent="0.2"/>
  <cols>
    <col min="2" max="2" width="13.4375" customWidth="1"/>
    <col min="3" max="3" width="7.2734375" customWidth="1"/>
    <col min="4" max="4" width="18.25" customWidth="1"/>
    <col min="5" max="5" width="12.69921875" customWidth="1"/>
    <col min="6" max="7" width="11.46484375" bestFit="1" customWidth="1"/>
    <col min="10" max="10" width="11.46484375" bestFit="1" customWidth="1"/>
    <col min="11" max="11" width="11.34375" customWidth="1"/>
    <col min="12" max="12" width="11.46484375" customWidth="1"/>
    <col min="13" max="13" width="10.48046875" customWidth="1"/>
    <col min="14" max="14" width="10.97265625" customWidth="1"/>
    <col min="15" max="15" width="10.7265625" customWidth="1"/>
    <col min="16" max="16" width="9.37109375" bestFit="1" customWidth="1"/>
    <col min="17" max="17" width="10.97265625" customWidth="1"/>
    <col min="19" max="19" width="10.109375" customWidth="1"/>
    <col min="20" max="20" width="13.6875" customWidth="1"/>
  </cols>
  <sheetData>
    <row r="1" spans="1:38" x14ac:dyDescent="0.2">
      <c r="A1" s="9"/>
      <c r="B1" s="9"/>
      <c r="C1" s="9"/>
      <c r="D1" s="9"/>
      <c r="E1" s="50" t="s">
        <v>6</v>
      </c>
      <c r="F1" s="51"/>
      <c r="G1" s="55" t="s">
        <v>18</v>
      </c>
      <c r="H1" s="55"/>
      <c r="I1" s="49" t="s">
        <v>20</v>
      </c>
      <c r="J1" s="49"/>
      <c r="K1" s="56" t="s">
        <v>21</v>
      </c>
      <c r="L1" s="56"/>
      <c r="M1" s="49" t="s">
        <v>22</v>
      </c>
      <c r="N1" s="49"/>
      <c r="O1" s="56" t="s">
        <v>50</v>
      </c>
      <c r="P1" s="56"/>
      <c r="Q1" s="49" t="s">
        <v>23</v>
      </c>
      <c r="R1" s="49"/>
      <c r="S1" s="56" t="s">
        <v>24</v>
      </c>
      <c r="T1" s="56"/>
      <c r="U1" s="49" t="s">
        <v>25</v>
      </c>
      <c r="V1" s="49"/>
      <c r="W1" s="56" t="s">
        <v>26</v>
      </c>
      <c r="X1" s="56"/>
      <c r="Y1" s="49" t="s">
        <v>27</v>
      </c>
      <c r="Z1" s="49"/>
      <c r="AA1" s="56" t="s">
        <v>28</v>
      </c>
      <c r="AB1" s="56"/>
      <c r="AC1" s="49" t="s">
        <v>29</v>
      </c>
      <c r="AD1" s="49"/>
      <c r="AE1" s="56" t="s">
        <v>30</v>
      </c>
      <c r="AF1" s="56"/>
      <c r="AG1" s="49" t="s">
        <v>31</v>
      </c>
      <c r="AH1" s="49"/>
      <c r="AI1" s="56" t="s">
        <v>32</v>
      </c>
      <c r="AJ1" s="56"/>
      <c r="AK1" s="49" t="s">
        <v>33</v>
      </c>
      <c r="AL1" s="49"/>
    </row>
    <row r="2" spans="1:38" x14ac:dyDescent="0.2">
      <c r="A2" s="10" t="s">
        <v>0</v>
      </c>
      <c r="B2" s="10" t="s">
        <v>1</v>
      </c>
      <c r="C2" s="10" t="s">
        <v>3</v>
      </c>
      <c r="D2" s="10" t="s">
        <v>2</v>
      </c>
      <c r="E2" s="3" t="s">
        <v>4</v>
      </c>
      <c r="F2" s="3" t="s">
        <v>5</v>
      </c>
      <c r="G2" s="1" t="s">
        <v>4</v>
      </c>
      <c r="H2" s="1" t="s">
        <v>5</v>
      </c>
      <c r="I2" s="4" t="s">
        <v>4</v>
      </c>
      <c r="J2" s="4" t="s">
        <v>5</v>
      </c>
      <c r="K2" s="4" t="s">
        <v>4</v>
      </c>
      <c r="L2" s="4" t="s">
        <v>5</v>
      </c>
      <c r="M2" s="4" t="s">
        <v>4</v>
      </c>
      <c r="N2" s="4" t="s">
        <v>5</v>
      </c>
      <c r="O2" s="4" t="s">
        <v>4</v>
      </c>
      <c r="P2" s="4" t="s">
        <v>5</v>
      </c>
      <c r="Q2" s="4" t="s">
        <v>4</v>
      </c>
      <c r="R2" s="4" t="s">
        <v>5</v>
      </c>
      <c r="S2" s="4" t="s">
        <v>4</v>
      </c>
      <c r="T2" s="4" t="s">
        <v>5</v>
      </c>
      <c r="U2" s="4" t="s">
        <v>4</v>
      </c>
      <c r="V2" s="4" t="s">
        <v>5</v>
      </c>
      <c r="W2" s="4" t="s">
        <v>4</v>
      </c>
      <c r="X2" s="4" t="s">
        <v>5</v>
      </c>
      <c r="Y2" s="4" t="s">
        <v>4</v>
      </c>
      <c r="Z2" s="4" t="s">
        <v>5</v>
      </c>
      <c r="AA2" s="4" t="s">
        <v>4</v>
      </c>
      <c r="AB2" s="4" t="s">
        <v>5</v>
      </c>
      <c r="AC2" s="4" t="s">
        <v>4</v>
      </c>
      <c r="AD2" s="4" t="s">
        <v>5</v>
      </c>
      <c r="AE2" s="4" t="s">
        <v>4</v>
      </c>
      <c r="AF2" s="4" t="s">
        <v>5</v>
      </c>
      <c r="AG2" s="4" t="s">
        <v>4</v>
      </c>
      <c r="AH2" s="4" t="s">
        <v>5</v>
      </c>
      <c r="AI2" s="4" t="s">
        <v>4</v>
      </c>
      <c r="AJ2" s="4" t="s">
        <v>5</v>
      </c>
      <c r="AK2" s="4" t="s">
        <v>4</v>
      </c>
      <c r="AL2" s="4" t="s">
        <v>5</v>
      </c>
    </row>
    <row r="3" spans="1:38" x14ac:dyDescent="0.2">
      <c r="A3" s="1">
        <v>1</v>
      </c>
      <c r="B3" s="5">
        <v>44927</v>
      </c>
      <c r="C3" s="1">
        <v>1</v>
      </c>
      <c r="D3" s="1" t="s">
        <v>10</v>
      </c>
      <c r="E3" s="13">
        <f>SUMIF($G$2:$AL$2,$G$2,G3:AL9)</f>
        <v>70110</v>
      </c>
      <c r="F3" s="13">
        <f>SUMIF($G$2:$AL$2,$G$2,H3:AM9)</f>
        <v>70110</v>
      </c>
      <c r="G3" s="14"/>
      <c r="H3" s="14"/>
      <c r="I3" s="14"/>
      <c r="J3" s="14">
        <v>69495</v>
      </c>
      <c r="K3" s="14">
        <v>61500</v>
      </c>
      <c r="L3" s="14"/>
      <c r="M3" s="14">
        <v>8610</v>
      </c>
      <c r="N3" s="14"/>
      <c r="O3" s="14"/>
      <c r="P3" s="14">
        <v>615</v>
      </c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 x14ac:dyDescent="0.2">
      <c r="A4" s="1">
        <f>A3+1</f>
        <v>2</v>
      </c>
      <c r="B4" s="5">
        <v>44928</v>
      </c>
      <c r="C4" s="2">
        <v>2</v>
      </c>
      <c r="D4" s="1" t="s">
        <v>11</v>
      </c>
      <c r="E4" s="13">
        <f t="shared" ref="E4:E9" si="0">SUMIF($G$2:$AL$2,$G$2,G4:AL10)</f>
        <v>93480</v>
      </c>
      <c r="F4" s="13">
        <f t="shared" ref="F4:F9" si="1">SUMIF($G$2:$AL$2,$G$2,H4:AM10)</f>
        <v>93480</v>
      </c>
      <c r="G4" s="14"/>
      <c r="H4" s="14"/>
      <c r="I4" s="14"/>
      <c r="J4" s="14">
        <v>92660</v>
      </c>
      <c r="K4" s="14">
        <v>82000</v>
      </c>
      <c r="L4" s="14"/>
      <c r="M4" s="14">
        <v>11480</v>
      </c>
      <c r="N4" s="14"/>
      <c r="O4" s="14"/>
      <c r="P4" s="14">
        <v>820</v>
      </c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</row>
    <row r="5" spans="1:38" x14ac:dyDescent="0.2">
      <c r="A5" s="1">
        <f t="shared" ref="A5:A9" si="2">A4+1</f>
        <v>3</v>
      </c>
      <c r="B5" s="5">
        <v>44929</v>
      </c>
      <c r="C5" s="1">
        <v>3</v>
      </c>
      <c r="D5" s="1" t="s">
        <v>11</v>
      </c>
      <c r="E5" s="13">
        <f t="shared" si="0"/>
        <v>193980</v>
      </c>
      <c r="F5" s="13">
        <f t="shared" si="1"/>
        <v>193980</v>
      </c>
      <c r="G5" s="14">
        <v>120910</v>
      </c>
      <c r="H5" s="14"/>
      <c r="I5" s="14"/>
      <c r="J5" s="14"/>
      <c r="K5" s="14"/>
      <c r="L5" s="14">
        <v>72000</v>
      </c>
      <c r="M5" s="14"/>
      <c r="N5" s="14">
        <v>14980</v>
      </c>
      <c r="O5" s="14">
        <v>1070</v>
      </c>
      <c r="P5" s="14"/>
      <c r="Q5" s="14">
        <v>72000</v>
      </c>
      <c r="R5" s="14"/>
      <c r="S5" s="14"/>
      <c r="T5" s="14">
        <v>107000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</row>
    <row r="6" spans="1:38" x14ac:dyDescent="0.2">
      <c r="A6" s="1">
        <f t="shared" si="2"/>
        <v>4</v>
      </c>
      <c r="B6" s="5">
        <v>44930</v>
      </c>
      <c r="C6" s="1">
        <v>4</v>
      </c>
      <c r="D6" s="1" t="s">
        <v>12</v>
      </c>
      <c r="E6" s="13">
        <f t="shared" si="0"/>
        <v>49305</v>
      </c>
      <c r="F6" s="13">
        <f t="shared" si="1"/>
        <v>49305</v>
      </c>
      <c r="G6" s="14"/>
      <c r="H6" s="14"/>
      <c r="I6" s="14"/>
      <c r="J6" s="14">
        <v>48872</v>
      </c>
      <c r="K6" s="14">
        <v>43250</v>
      </c>
      <c r="L6" s="14"/>
      <c r="M6" s="14">
        <v>6055</v>
      </c>
      <c r="N6" s="14"/>
      <c r="O6" s="14"/>
      <c r="P6" s="14">
        <v>433</v>
      </c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</row>
    <row r="7" spans="1:38" x14ac:dyDescent="0.2">
      <c r="A7" s="1">
        <f t="shared" si="2"/>
        <v>5</v>
      </c>
      <c r="B7" s="5">
        <v>44931</v>
      </c>
      <c r="C7" s="2">
        <v>5</v>
      </c>
      <c r="D7" s="1" t="s">
        <v>11</v>
      </c>
      <c r="E7" s="13">
        <f t="shared" si="0"/>
        <v>100030</v>
      </c>
      <c r="F7" s="13">
        <f t="shared" si="1"/>
        <v>100030</v>
      </c>
      <c r="G7" s="14">
        <v>56160</v>
      </c>
      <c r="H7" s="14"/>
      <c r="I7" s="14"/>
      <c r="J7" s="14"/>
      <c r="K7" s="14"/>
      <c r="L7" s="14">
        <v>40750</v>
      </c>
      <c r="M7" s="14"/>
      <c r="N7" s="14">
        <v>7280</v>
      </c>
      <c r="O7" s="14">
        <v>520</v>
      </c>
      <c r="P7" s="14"/>
      <c r="Q7" s="14">
        <v>40750</v>
      </c>
      <c r="R7" s="14"/>
      <c r="S7" s="14"/>
      <c r="T7" s="14">
        <v>52000</v>
      </c>
      <c r="U7" s="14">
        <v>2600</v>
      </c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 spans="1:38" x14ac:dyDescent="0.2">
      <c r="A8" s="1">
        <f t="shared" si="2"/>
        <v>6</v>
      </c>
      <c r="B8" s="5">
        <v>44932</v>
      </c>
      <c r="C8" s="1">
        <v>6</v>
      </c>
      <c r="D8" s="1" t="s">
        <v>13</v>
      </c>
      <c r="E8" s="13">
        <f t="shared" si="0"/>
        <v>41040</v>
      </c>
      <c r="F8" s="13">
        <f t="shared" si="1"/>
        <v>41040</v>
      </c>
      <c r="G8" s="14"/>
      <c r="H8" s="14"/>
      <c r="I8" s="14"/>
      <c r="J8" s="14">
        <v>38880</v>
      </c>
      <c r="K8" s="14"/>
      <c r="L8" s="14"/>
      <c r="M8" s="14"/>
      <c r="N8" s="14"/>
      <c r="O8" s="14"/>
      <c r="P8" s="14">
        <v>360</v>
      </c>
      <c r="Q8" s="14"/>
      <c r="R8" s="14"/>
      <c r="S8" s="14"/>
      <c r="T8" s="14"/>
      <c r="U8" s="14"/>
      <c r="V8" s="14"/>
      <c r="W8" s="14">
        <v>41040</v>
      </c>
      <c r="X8" s="14"/>
      <c r="Y8" s="14"/>
      <c r="Z8" s="14"/>
      <c r="AA8" s="14"/>
      <c r="AB8" s="14">
        <v>1800</v>
      </c>
      <c r="AC8" s="14"/>
      <c r="AD8" s="14"/>
      <c r="AE8" s="14"/>
      <c r="AF8" s="14"/>
      <c r="AG8" s="14"/>
      <c r="AH8" s="14"/>
      <c r="AI8" s="14"/>
      <c r="AJ8" s="14"/>
      <c r="AK8" s="14"/>
      <c r="AL8" s="14"/>
    </row>
    <row r="9" spans="1:38" x14ac:dyDescent="0.2">
      <c r="A9" s="1">
        <f t="shared" si="2"/>
        <v>7</v>
      </c>
      <c r="B9" s="5">
        <v>44933</v>
      </c>
      <c r="C9" s="1">
        <v>7</v>
      </c>
      <c r="D9" s="1" t="s">
        <v>14</v>
      </c>
      <c r="E9" s="13">
        <f t="shared" si="0"/>
        <v>79800</v>
      </c>
      <c r="F9" s="13">
        <f t="shared" si="1"/>
        <v>79800</v>
      </c>
      <c r="G9" s="14">
        <v>77700</v>
      </c>
      <c r="H9" s="14"/>
      <c r="I9" s="14"/>
      <c r="J9" s="14"/>
      <c r="K9" s="14"/>
      <c r="L9" s="14"/>
      <c r="M9" s="14"/>
      <c r="N9" s="14"/>
      <c r="O9" s="14">
        <v>700</v>
      </c>
      <c r="P9" s="14"/>
      <c r="Q9" s="14"/>
      <c r="R9" s="14"/>
      <c r="S9" s="14"/>
      <c r="T9" s="14"/>
      <c r="U9" s="14">
        <v>1400</v>
      </c>
      <c r="V9" s="14"/>
      <c r="W9" s="14"/>
      <c r="X9" s="14"/>
      <c r="Y9" s="14"/>
      <c r="Z9" s="14">
        <v>79800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 spans="1:38" x14ac:dyDescent="0.2">
      <c r="A10" s="52" t="s">
        <v>7</v>
      </c>
      <c r="B10" s="52"/>
      <c r="C10" s="52"/>
      <c r="D10" s="52"/>
      <c r="E10" s="15">
        <f>SUM(E3:E9)</f>
        <v>627745</v>
      </c>
      <c r="F10" s="15">
        <f>SUM(F3:F9)</f>
        <v>627745</v>
      </c>
      <c r="G10" s="15">
        <f t="shared" ref="G10:AL10" si="3">SUM(G3:G9)</f>
        <v>254770</v>
      </c>
      <c r="H10" s="15">
        <f t="shared" si="3"/>
        <v>0</v>
      </c>
      <c r="I10" s="15">
        <f t="shared" si="3"/>
        <v>0</v>
      </c>
      <c r="J10" s="15">
        <f t="shared" si="3"/>
        <v>249907</v>
      </c>
      <c r="K10" s="15">
        <f t="shared" si="3"/>
        <v>186750</v>
      </c>
      <c r="L10" s="15">
        <f t="shared" si="3"/>
        <v>112750</v>
      </c>
      <c r="M10" s="15">
        <f t="shared" si="3"/>
        <v>26145</v>
      </c>
      <c r="N10" s="15">
        <f t="shared" si="3"/>
        <v>22260</v>
      </c>
      <c r="O10" s="15">
        <f t="shared" si="3"/>
        <v>2290</v>
      </c>
      <c r="P10" s="15">
        <f t="shared" si="3"/>
        <v>2228</v>
      </c>
      <c r="Q10" s="15">
        <f t="shared" si="3"/>
        <v>112750</v>
      </c>
      <c r="R10" s="15">
        <f t="shared" si="3"/>
        <v>0</v>
      </c>
      <c r="S10" s="15">
        <f t="shared" si="3"/>
        <v>0</v>
      </c>
      <c r="T10" s="15">
        <f t="shared" si="3"/>
        <v>159000</v>
      </c>
      <c r="U10" s="15">
        <f t="shared" si="3"/>
        <v>4000</v>
      </c>
      <c r="V10" s="15">
        <f t="shared" si="3"/>
        <v>0</v>
      </c>
      <c r="W10" s="15">
        <f t="shared" si="3"/>
        <v>41040</v>
      </c>
      <c r="X10" s="15">
        <f t="shared" si="3"/>
        <v>0</v>
      </c>
      <c r="Y10" s="15">
        <f t="shared" si="3"/>
        <v>0</v>
      </c>
      <c r="Z10" s="15">
        <f t="shared" si="3"/>
        <v>79800</v>
      </c>
      <c r="AA10" s="15">
        <f t="shared" si="3"/>
        <v>0</v>
      </c>
      <c r="AB10" s="15">
        <f t="shared" si="3"/>
        <v>1800</v>
      </c>
      <c r="AC10" s="15">
        <f t="shared" si="3"/>
        <v>0</v>
      </c>
      <c r="AD10" s="15">
        <f t="shared" si="3"/>
        <v>0</v>
      </c>
      <c r="AE10" s="15">
        <f t="shared" si="3"/>
        <v>0</v>
      </c>
      <c r="AF10" s="15">
        <f t="shared" si="3"/>
        <v>0</v>
      </c>
      <c r="AG10" s="15">
        <f t="shared" si="3"/>
        <v>0</v>
      </c>
      <c r="AH10" s="15">
        <f t="shared" si="3"/>
        <v>0</v>
      </c>
      <c r="AI10" s="15">
        <f t="shared" si="3"/>
        <v>0</v>
      </c>
      <c r="AJ10" s="15">
        <f t="shared" si="3"/>
        <v>0</v>
      </c>
      <c r="AK10" s="15">
        <f t="shared" si="3"/>
        <v>0</v>
      </c>
      <c r="AL10" s="15">
        <f t="shared" si="3"/>
        <v>0</v>
      </c>
    </row>
    <row r="11" spans="1:38" x14ac:dyDescent="0.2">
      <c r="A11" s="1">
        <v>1</v>
      </c>
      <c r="B11" s="6">
        <v>44958</v>
      </c>
      <c r="C11" s="1">
        <v>1</v>
      </c>
      <c r="D11" s="1" t="s">
        <v>15</v>
      </c>
      <c r="E11" s="13">
        <f>SUMIF($G$2:$AL$2,$G$2,G11:AL15)</f>
        <v>30000</v>
      </c>
      <c r="F11" s="13">
        <f>SUMIF($G$2:$AL$2,$G$2,H11:AM15)</f>
        <v>30000</v>
      </c>
      <c r="G11" s="14"/>
      <c r="H11" s="14"/>
      <c r="I11" s="14"/>
      <c r="J11" s="14">
        <v>30000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>
        <v>30000</v>
      </c>
      <c r="AD11" s="14"/>
      <c r="AE11" s="14"/>
      <c r="AF11" s="14"/>
      <c r="AG11" s="14"/>
      <c r="AH11" s="14"/>
      <c r="AI11" s="14"/>
      <c r="AJ11" s="14"/>
      <c r="AK11" s="14"/>
      <c r="AL11" s="14"/>
    </row>
    <row r="12" spans="1:38" x14ac:dyDescent="0.2">
      <c r="A12" s="1">
        <f>A11+1</f>
        <v>2</v>
      </c>
      <c r="B12" s="6">
        <v>44959</v>
      </c>
      <c r="C12" s="1">
        <v>2</v>
      </c>
      <c r="D12" s="1" t="s">
        <v>16</v>
      </c>
      <c r="E12" s="13">
        <f>SUMIF($G$2:AL3,$G$2,G12:AL16)</f>
        <v>1100</v>
      </c>
      <c r="F12" s="13">
        <f ca="1">SUMIF($G$2:AM3,$G$2,H12:AM16)</f>
        <v>1100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>
        <v>1100</v>
      </c>
      <c r="AE12" s="14">
        <v>1100</v>
      </c>
      <c r="AF12" s="14"/>
      <c r="AG12" s="14"/>
      <c r="AH12" s="14"/>
      <c r="AI12" s="14"/>
      <c r="AJ12" s="14"/>
      <c r="AK12" s="14"/>
      <c r="AL12" s="14"/>
    </row>
    <row r="13" spans="1:38" x14ac:dyDescent="0.2">
      <c r="A13" s="1">
        <f t="shared" ref="A13:A15" si="4">A12+1</f>
        <v>3</v>
      </c>
      <c r="B13" s="6">
        <v>44960</v>
      </c>
      <c r="C13" s="1">
        <v>3</v>
      </c>
      <c r="D13" s="1" t="s">
        <v>16</v>
      </c>
      <c r="E13" s="13">
        <f>SUMIF($G$2:AL4,$G$2,G13:AL17)</f>
        <v>1500</v>
      </c>
      <c r="F13" s="13">
        <f ca="1">SUMIF($G$2:AM4,$G$2,H13:AM17)</f>
        <v>1500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>
        <v>1500</v>
      </c>
      <c r="AE13" s="14">
        <v>1500</v>
      </c>
      <c r="AF13" s="14"/>
      <c r="AG13" s="14"/>
      <c r="AH13" s="14"/>
      <c r="AI13" s="14"/>
      <c r="AJ13" s="14"/>
      <c r="AK13" s="14"/>
      <c r="AL13" s="14"/>
    </row>
    <row r="14" spans="1:38" x14ac:dyDescent="0.2">
      <c r="A14" s="1">
        <f t="shared" si="4"/>
        <v>4</v>
      </c>
      <c r="B14" s="6">
        <v>44961</v>
      </c>
      <c r="C14" s="1">
        <v>4</v>
      </c>
      <c r="D14" s="1" t="s">
        <v>15</v>
      </c>
      <c r="E14" s="13">
        <f>SUMIF($G$2:AL5,$G$2,G14:AL18)</f>
        <v>30000</v>
      </c>
      <c r="F14" s="13">
        <f ca="1">SUMIF($G$2:AM5,$G$2,H14:AM18)</f>
        <v>30000</v>
      </c>
      <c r="G14" s="14"/>
      <c r="H14" s="14"/>
      <c r="I14" s="14"/>
      <c r="J14" s="14">
        <v>30000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>
        <v>30000</v>
      </c>
      <c r="AD14" s="14"/>
      <c r="AE14" s="14"/>
      <c r="AF14" s="14"/>
      <c r="AG14" s="14"/>
      <c r="AH14" s="14"/>
      <c r="AI14" s="14"/>
      <c r="AJ14" s="14"/>
      <c r="AK14" s="14"/>
      <c r="AL14" s="14"/>
    </row>
    <row r="15" spans="1:38" x14ac:dyDescent="0.2">
      <c r="A15" s="1">
        <f t="shared" si="4"/>
        <v>5</v>
      </c>
      <c r="B15" s="6">
        <v>44962</v>
      </c>
      <c r="C15" s="1">
        <v>5</v>
      </c>
      <c r="D15" s="1" t="s">
        <v>17</v>
      </c>
      <c r="E15" s="13">
        <f>SUMIF($G$2:AL6,$G$2,G15:AL19)</f>
        <v>30000</v>
      </c>
      <c r="F15" s="13">
        <f ca="1">SUMIF($G$2:AM6,$G$2,H15:AM19)</f>
        <v>30000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>
        <v>30000</v>
      </c>
      <c r="AJ15" s="14"/>
      <c r="AK15" s="14"/>
      <c r="AL15" s="14">
        <v>30000</v>
      </c>
    </row>
    <row r="16" spans="1:38" x14ac:dyDescent="0.2">
      <c r="A16" s="53" t="s">
        <v>8</v>
      </c>
      <c r="B16" s="53"/>
      <c r="C16" s="53"/>
      <c r="D16" s="53"/>
      <c r="E16" s="16">
        <f>SUM(E11:E15)</f>
        <v>92600</v>
      </c>
      <c r="F16" s="16">
        <f ca="1">SUM(F11:F15)</f>
        <v>92600</v>
      </c>
      <c r="G16" s="16">
        <f t="shared" ref="G16:AL16" si="5">SUM(G11:G15)</f>
        <v>0</v>
      </c>
      <c r="H16" s="16">
        <f t="shared" si="5"/>
        <v>0</v>
      </c>
      <c r="I16" s="16">
        <f t="shared" si="5"/>
        <v>0</v>
      </c>
      <c r="J16" s="16">
        <f t="shared" si="5"/>
        <v>60000</v>
      </c>
      <c r="K16" s="16">
        <f t="shared" si="5"/>
        <v>0</v>
      </c>
      <c r="L16" s="16">
        <f t="shared" si="5"/>
        <v>0</v>
      </c>
      <c r="M16" s="16">
        <f t="shared" si="5"/>
        <v>0</v>
      </c>
      <c r="N16" s="16">
        <f t="shared" si="5"/>
        <v>0</v>
      </c>
      <c r="O16" s="16">
        <f t="shared" si="5"/>
        <v>0</v>
      </c>
      <c r="P16" s="16">
        <f t="shared" si="5"/>
        <v>0</v>
      </c>
      <c r="Q16" s="16">
        <f t="shared" si="5"/>
        <v>0</v>
      </c>
      <c r="R16" s="16">
        <f t="shared" si="5"/>
        <v>0</v>
      </c>
      <c r="S16" s="16">
        <f t="shared" si="5"/>
        <v>0</v>
      </c>
      <c r="T16" s="16">
        <f t="shared" si="5"/>
        <v>0</v>
      </c>
      <c r="U16" s="16">
        <f t="shared" si="5"/>
        <v>0</v>
      </c>
      <c r="V16" s="16">
        <f t="shared" si="5"/>
        <v>0</v>
      </c>
      <c r="W16" s="16">
        <f t="shared" si="5"/>
        <v>0</v>
      </c>
      <c r="X16" s="16">
        <f t="shared" si="5"/>
        <v>0</v>
      </c>
      <c r="Y16" s="16">
        <f t="shared" si="5"/>
        <v>0</v>
      </c>
      <c r="Z16" s="16">
        <f t="shared" si="5"/>
        <v>0</v>
      </c>
      <c r="AA16" s="16">
        <f t="shared" si="5"/>
        <v>0</v>
      </c>
      <c r="AB16" s="16">
        <f t="shared" si="5"/>
        <v>0</v>
      </c>
      <c r="AC16" s="16">
        <f t="shared" si="5"/>
        <v>60000</v>
      </c>
      <c r="AD16" s="16">
        <f t="shared" si="5"/>
        <v>2600</v>
      </c>
      <c r="AE16" s="16">
        <f t="shared" si="5"/>
        <v>2600</v>
      </c>
      <c r="AF16" s="16">
        <f t="shared" si="5"/>
        <v>0</v>
      </c>
      <c r="AG16" s="16">
        <f t="shared" si="5"/>
        <v>0</v>
      </c>
      <c r="AH16" s="16">
        <f t="shared" si="5"/>
        <v>0</v>
      </c>
      <c r="AI16" s="16">
        <f t="shared" si="5"/>
        <v>30000</v>
      </c>
      <c r="AJ16" s="16">
        <f t="shared" si="5"/>
        <v>0</v>
      </c>
      <c r="AK16" s="16">
        <f t="shared" si="5"/>
        <v>0</v>
      </c>
      <c r="AL16" s="16">
        <f t="shared" si="5"/>
        <v>30000</v>
      </c>
    </row>
    <row r="17" spans="1:38" x14ac:dyDescent="0.2">
      <c r="A17" s="7"/>
      <c r="B17" s="7"/>
      <c r="C17" s="7"/>
      <c r="D17" s="7"/>
      <c r="E17" s="17"/>
      <c r="F17" s="17"/>
      <c r="G17" s="17"/>
      <c r="H17" s="17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 spans="1:38" x14ac:dyDescent="0.2">
      <c r="A18" s="54" t="s">
        <v>9</v>
      </c>
      <c r="B18" s="54"/>
      <c r="C18" s="54"/>
      <c r="D18" s="54"/>
      <c r="E18" s="19">
        <f>E10+E16</f>
        <v>720345</v>
      </c>
      <c r="F18" s="19">
        <f ca="1">F10+F16</f>
        <v>720345</v>
      </c>
      <c r="G18" s="19">
        <f t="shared" ref="G18:AL18" si="6">G10+G16</f>
        <v>254770</v>
      </c>
      <c r="H18" s="19">
        <f t="shared" si="6"/>
        <v>0</v>
      </c>
      <c r="I18" s="19">
        <f t="shared" si="6"/>
        <v>0</v>
      </c>
      <c r="J18" s="19">
        <f t="shared" si="6"/>
        <v>309907</v>
      </c>
      <c r="K18" s="19">
        <f t="shared" si="6"/>
        <v>186750</v>
      </c>
      <c r="L18" s="19">
        <f t="shared" si="6"/>
        <v>112750</v>
      </c>
      <c r="M18" s="19">
        <f t="shared" si="6"/>
        <v>26145</v>
      </c>
      <c r="N18" s="19">
        <f t="shared" si="6"/>
        <v>22260</v>
      </c>
      <c r="O18" s="19">
        <f t="shared" si="6"/>
        <v>2290</v>
      </c>
      <c r="P18" s="19">
        <f t="shared" si="6"/>
        <v>2228</v>
      </c>
      <c r="Q18" s="19">
        <f t="shared" si="6"/>
        <v>112750</v>
      </c>
      <c r="R18" s="19">
        <f t="shared" si="6"/>
        <v>0</v>
      </c>
      <c r="S18" s="19">
        <f t="shared" si="6"/>
        <v>0</v>
      </c>
      <c r="T18" s="19">
        <f t="shared" si="6"/>
        <v>159000</v>
      </c>
      <c r="U18" s="19">
        <f t="shared" si="6"/>
        <v>4000</v>
      </c>
      <c r="V18" s="19">
        <f t="shared" si="6"/>
        <v>0</v>
      </c>
      <c r="W18" s="19">
        <f t="shared" si="6"/>
        <v>41040</v>
      </c>
      <c r="X18" s="19">
        <f t="shared" si="6"/>
        <v>0</v>
      </c>
      <c r="Y18" s="19">
        <f t="shared" si="6"/>
        <v>0</v>
      </c>
      <c r="Z18" s="19">
        <f t="shared" si="6"/>
        <v>79800</v>
      </c>
      <c r="AA18" s="19">
        <f t="shared" si="6"/>
        <v>0</v>
      </c>
      <c r="AB18" s="19">
        <f t="shared" si="6"/>
        <v>1800</v>
      </c>
      <c r="AC18" s="19">
        <f t="shared" si="6"/>
        <v>60000</v>
      </c>
      <c r="AD18" s="19">
        <f t="shared" si="6"/>
        <v>2600</v>
      </c>
      <c r="AE18" s="19">
        <f t="shared" si="6"/>
        <v>2600</v>
      </c>
      <c r="AF18" s="19">
        <f t="shared" si="6"/>
        <v>0</v>
      </c>
      <c r="AG18" s="19">
        <f t="shared" si="6"/>
        <v>0</v>
      </c>
      <c r="AH18" s="19">
        <f t="shared" si="6"/>
        <v>0</v>
      </c>
      <c r="AI18" s="19">
        <f t="shared" si="6"/>
        <v>30000</v>
      </c>
      <c r="AJ18" s="19">
        <f t="shared" si="6"/>
        <v>0</v>
      </c>
      <c r="AK18" s="19">
        <f t="shared" si="6"/>
        <v>0</v>
      </c>
      <c r="AL18" s="19">
        <f t="shared" si="6"/>
        <v>30000</v>
      </c>
    </row>
    <row r="19" spans="1:38" x14ac:dyDescent="0.2"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</sheetData>
  <mergeCells count="20">
    <mergeCell ref="AE1:AF1"/>
    <mergeCell ref="AG1:AH1"/>
    <mergeCell ref="AI1:AJ1"/>
    <mergeCell ref="AK1:AL1"/>
    <mergeCell ref="U1:V1"/>
    <mergeCell ref="W1:X1"/>
    <mergeCell ref="Y1:Z1"/>
    <mergeCell ref="AA1:AB1"/>
    <mergeCell ref="AC1:AD1"/>
    <mergeCell ref="K1:L1"/>
    <mergeCell ref="M1:N1"/>
    <mergeCell ref="O1:P1"/>
    <mergeCell ref="Q1:R1"/>
    <mergeCell ref="S1:T1"/>
    <mergeCell ref="I1:J1"/>
    <mergeCell ref="E1:F1"/>
    <mergeCell ref="A10:D10"/>
    <mergeCell ref="A16:D16"/>
    <mergeCell ref="A18:D18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5EA1-7000-BD4D-B2A3-DD9608C24D1D}">
  <dimension ref="A1:H28"/>
  <sheetViews>
    <sheetView rightToLeft="1" topLeftCell="A10" zoomScale="97" workbookViewId="0">
      <selection activeCell="H23" sqref="H23"/>
    </sheetView>
  </sheetViews>
  <sheetFormatPr defaultColWidth="10.7265625" defaultRowHeight="15" x14ac:dyDescent="0.2"/>
  <cols>
    <col min="1" max="1" width="19.9765625" customWidth="1"/>
    <col min="2" max="2" width="11.9609375" bestFit="1" customWidth="1"/>
    <col min="3" max="3" width="12.453125" customWidth="1"/>
    <col min="6" max="6" width="11.9609375" bestFit="1" customWidth="1"/>
    <col min="7" max="7" width="14.55078125" customWidth="1"/>
  </cols>
  <sheetData>
    <row r="1" spans="1:8" x14ac:dyDescent="0.2">
      <c r="A1" s="51" t="s">
        <v>34</v>
      </c>
      <c r="B1" s="51"/>
      <c r="C1" s="51"/>
      <c r="D1" s="51"/>
      <c r="E1" s="51"/>
      <c r="F1" s="51"/>
      <c r="G1" s="51"/>
    </row>
    <row r="2" spans="1:8" x14ac:dyDescent="0.2">
      <c r="A2" s="55" t="s">
        <v>2</v>
      </c>
      <c r="B2" s="52" t="s">
        <v>35</v>
      </c>
      <c r="C2" s="52"/>
      <c r="D2" s="52" t="s">
        <v>36</v>
      </c>
      <c r="E2" s="52"/>
      <c r="F2" s="52" t="s">
        <v>37</v>
      </c>
      <c r="G2" s="52"/>
    </row>
    <row r="3" spans="1:8" x14ac:dyDescent="0.2">
      <c r="A3" s="55"/>
      <c r="B3" s="8" t="s">
        <v>4</v>
      </c>
      <c r="C3" s="8" t="s">
        <v>19</v>
      </c>
      <c r="D3" s="8" t="s">
        <v>4</v>
      </c>
      <c r="E3" s="8" t="s">
        <v>19</v>
      </c>
      <c r="F3" s="8" t="s">
        <v>4</v>
      </c>
      <c r="G3" s="8" t="s">
        <v>19</v>
      </c>
    </row>
    <row r="4" spans="1:8" x14ac:dyDescent="0.2">
      <c r="A4" s="48" t="s">
        <v>49</v>
      </c>
      <c r="B4" s="43">
        <v>2000000</v>
      </c>
      <c r="C4" s="43">
        <v>0</v>
      </c>
      <c r="D4" s="43">
        <v>0</v>
      </c>
      <c r="E4" s="43">
        <v>0</v>
      </c>
      <c r="F4" s="43">
        <f>B4+D4-C4-E4</f>
        <v>2000000</v>
      </c>
      <c r="G4" s="43">
        <v>0</v>
      </c>
      <c r="H4" s="45">
        <f>F4+F5+F6+F7+F8+F9+F14+F15+F17+F19+F21+F22+F25+F23</f>
        <v>3256988</v>
      </c>
    </row>
    <row r="5" spans="1:8" x14ac:dyDescent="0.2">
      <c r="A5" s="48" t="s">
        <v>18</v>
      </c>
      <c r="B5" s="43">
        <v>5000</v>
      </c>
      <c r="C5" s="43">
        <v>0</v>
      </c>
      <c r="D5" s="43">
        <f>'اليومية الامريكية'!G18</f>
        <v>254770</v>
      </c>
      <c r="E5" s="43">
        <f>'اليومية الامريكية'!H18</f>
        <v>0</v>
      </c>
      <c r="F5" s="43">
        <f t="shared" ref="F5:F9" si="0">B5+D5-C5-E5</f>
        <v>259770</v>
      </c>
      <c r="G5" s="43">
        <v>0</v>
      </c>
      <c r="H5" s="45">
        <f>G10+G11+G12+G13+G16+G18+G20+G24</f>
        <v>3256988</v>
      </c>
    </row>
    <row r="6" spans="1:8" x14ac:dyDescent="0.2">
      <c r="A6" s="48" t="s">
        <v>20</v>
      </c>
      <c r="B6" s="43">
        <v>1000000</v>
      </c>
      <c r="C6" s="43">
        <v>0</v>
      </c>
      <c r="D6" s="43">
        <f>'اليومية الامريكية'!I18</f>
        <v>0</v>
      </c>
      <c r="E6" s="43">
        <f>'اليومية الامريكية'!J18</f>
        <v>309907</v>
      </c>
      <c r="F6" s="43">
        <f t="shared" si="0"/>
        <v>690093</v>
      </c>
      <c r="G6" s="43">
        <v>0</v>
      </c>
    </row>
    <row r="7" spans="1:8" x14ac:dyDescent="0.2">
      <c r="A7" s="48" t="s">
        <v>38</v>
      </c>
      <c r="B7" s="43">
        <v>10000</v>
      </c>
      <c r="C7" s="43">
        <v>0</v>
      </c>
      <c r="D7" s="43">
        <v>0</v>
      </c>
      <c r="E7" s="43">
        <v>0</v>
      </c>
      <c r="F7" s="43">
        <f t="shared" si="0"/>
        <v>10000</v>
      </c>
      <c r="G7" s="43">
        <v>0</v>
      </c>
    </row>
    <row r="8" spans="1:8" x14ac:dyDescent="0.2">
      <c r="A8" s="48" t="s">
        <v>27</v>
      </c>
      <c r="B8" s="43">
        <v>50000</v>
      </c>
      <c r="C8" s="43">
        <v>0</v>
      </c>
      <c r="D8" s="43">
        <f>'اليومية الامريكية'!Y18</f>
        <v>0</v>
      </c>
      <c r="E8" s="43">
        <f>'اليومية الامريكية'!Z18</f>
        <v>79800</v>
      </c>
      <c r="F8" s="43">
        <f t="shared" si="0"/>
        <v>-29800</v>
      </c>
      <c r="G8" s="43">
        <v>0</v>
      </c>
    </row>
    <row r="9" spans="1:8" x14ac:dyDescent="0.2">
      <c r="A9" s="48" t="s">
        <v>39</v>
      </c>
      <c r="B9" s="43">
        <v>40000</v>
      </c>
      <c r="C9" s="43">
        <v>0</v>
      </c>
      <c r="D9" s="43">
        <v>0</v>
      </c>
      <c r="E9" s="43">
        <v>0</v>
      </c>
      <c r="F9" s="43">
        <f t="shared" si="0"/>
        <v>40000</v>
      </c>
      <c r="G9" s="43">
        <f t="shared" ref="G6:G25" si="1">E9+C9-D9</f>
        <v>0</v>
      </c>
    </row>
    <row r="10" spans="1:8" x14ac:dyDescent="0.2">
      <c r="A10" s="48" t="s">
        <v>40</v>
      </c>
      <c r="B10" s="43">
        <v>0</v>
      </c>
      <c r="C10" s="43">
        <v>3000000</v>
      </c>
      <c r="D10" s="43">
        <v>0</v>
      </c>
      <c r="E10" s="43">
        <v>0</v>
      </c>
      <c r="F10" s="43">
        <f t="shared" ref="F5:F25" si="2">B10+D10-E10</f>
        <v>0</v>
      </c>
      <c r="G10" s="43">
        <f>C10+E10-D10-B10</f>
        <v>3000000</v>
      </c>
    </row>
    <row r="11" spans="1:8" x14ac:dyDescent="0.2">
      <c r="A11" s="48" t="s">
        <v>41</v>
      </c>
      <c r="B11" s="43">
        <v>0</v>
      </c>
      <c r="C11" s="43">
        <v>54000</v>
      </c>
      <c r="D11" s="43">
        <f>'اليومية الامريكية'!W18</f>
        <v>41040</v>
      </c>
      <c r="E11" s="43">
        <f>'اليومية الامريكية'!X18</f>
        <v>0</v>
      </c>
      <c r="F11" s="43">
        <v>0</v>
      </c>
      <c r="G11" s="43">
        <f t="shared" ref="G11:G13" si="3">C11+E11-D11-B11</f>
        <v>12960</v>
      </c>
    </row>
    <row r="12" spans="1:8" x14ac:dyDescent="0.2">
      <c r="A12" s="48" t="s">
        <v>42</v>
      </c>
      <c r="B12" s="43">
        <v>0</v>
      </c>
      <c r="C12" s="43">
        <v>6000</v>
      </c>
      <c r="D12" s="43">
        <v>0</v>
      </c>
      <c r="E12" s="43">
        <v>0</v>
      </c>
      <c r="F12" s="43">
        <v>0</v>
      </c>
      <c r="G12" s="43">
        <f t="shared" si="3"/>
        <v>6000</v>
      </c>
    </row>
    <row r="13" spans="1:8" x14ac:dyDescent="0.2">
      <c r="A13" s="48" t="s">
        <v>43</v>
      </c>
      <c r="B13" s="43">
        <v>0</v>
      </c>
      <c r="C13" s="43">
        <v>45000</v>
      </c>
      <c r="D13" s="43">
        <v>0</v>
      </c>
      <c r="E13" s="43">
        <v>0</v>
      </c>
      <c r="F13" s="43">
        <f t="shared" si="2"/>
        <v>0</v>
      </c>
      <c r="G13" s="43">
        <f t="shared" si="3"/>
        <v>45000</v>
      </c>
    </row>
    <row r="14" spans="1:8" x14ac:dyDescent="0.2">
      <c r="A14" s="48" t="s">
        <v>21</v>
      </c>
      <c r="B14" s="43">
        <v>0</v>
      </c>
      <c r="C14" s="43">
        <v>0</v>
      </c>
      <c r="D14" s="43">
        <f>'اليومية الامريكية'!K18</f>
        <v>186750</v>
      </c>
      <c r="E14" s="43">
        <f>'اليومية الامريكية'!L18</f>
        <v>112750</v>
      </c>
      <c r="F14" s="43">
        <f t="shared" si="2"/>
        <v>74000</v>
      </c>
      <c r="G14" s="43">
        <v>0</v>
      </c>
    </row>
    <row r="15" spans="1:8" x14ac:dyDescent="0.2">
      <c r="A15" s="48" t="s">
        <v>23</v>
      </c>
      <c r="B15" s="43">
        <v>0</v>
      </c>
      <c r="C15" s="43">
        <v>0</v>
      </c>
      <c r="D15" s="43">
        <f>'اليومية الامريكية'!Q18</f>
        <v>112750</v>
      </c>
      <c r="E15" s="43">
        <f>'اليومية الامريكية'!R18</f>
        <v>0</v>
      </c>
      <c r="F15" s="43">
        <f t="shared" si="2"/>
        <v>112750</v>
      </c>
      <c r="G15" s="43">
        <v>0</v>
      </c>
    </row>
    <row r="16" spans="1:8" x14ac:dyDescent="0.2">
      <c r="A16" s="48" t="s">
        <v>24</v>
      </c>
      <c r="B16" s="43">
        <v>0</v>
      </c>
      <c r="C16" s="43">
        <v>0</v>
      </c>
      <c r="D16" s="43">
        <f>'اليومية الامريكية'!S18</f>
        <v>0</v>
      </c>
      <c r="E16" s="43">
        <f>'اليومية الامريكية'!T18</f>
        <v>159000</v>
      </c>
      <c r="F16" s="43">
        <v>0</v>
      </c>
      <c r="G16" s="43">
        <f t="shared" si="1"/>
        <v>159000</v>
      </c>
    </row>
    <row r="17" spans="1:7" x14ac:dyDescent="0.2">
      <c r="A17" s="48" t="s">
        <v>22</v>
      </c>
      <c r="B17" s="43">
        <v>0</v>
      </c>
      <c r="C17" s="43">
        <v>0</v>
      </c>
      <c r="D17" s="43">
        <f>'اليومية الامريكية'!M18</f>
        <v>26145</v>
      </c>
      <c r="E17" s="43">
        <f>'اليومية الامريكية'!N18</f>
        <v>22260</v>
      </c>
      <c r="F17" s="43">
        <f t="shared" si="2"/>
        <v>3885</v>
      </c>
      <c r="G17" s="43">
        <v>0</v>
      </c>
    </row>
    <row r="18" spans="1:7" x14ac:dyDescent="0.2">
      <c r="A18" s="48" t="s">
        <v>44</v>
      </c>
      <c r="B18" s="43">
        <v>0</v>
      </c>
      <c r="C18" s="43">
        <v>0</v>
      </c>
      <c r="D18" s="43">
        <f>'اليومية الامريكية'!AA18</f>
        <v>0</v>
      </c>
      <c r="E18" s="43">
        <f>'اليومية الامريكية'!AB18</f>
        <v>1800</v>
      </c>
      <c r="F18" s="43">
        <v>0</v>
      </c>
      <c r="G18" s="43">
        <f t="shared" si="1"/>
        <v>1800</v>
      </c>
    </row>
    <row r="19" spans="1:7" x14ac:dyDescent="0.2">
      <c r="A19" s="48" t="s">
        <v>45</v>
      </c>
      <c r="B19" s="43">
        <v>0</v>
      </c>
      <c r="C19" s="43">
        <v>0</v>
      </c>
      <c r="D19" s="43">
        <f>'اليومية الامريكية'!O18</f>
        <v>2290</v>
      </c>
      <c r="E19" s="43">
        <v>0</v>
      </c>
      <c r="F19" s="43">
        <f t="shared" si="2"/>
        <v>2290</v>
      </c>
      <c r="G19" s="43">
        <v>0</v>
      </c>
    </row>
    <row r="20" spans="1:7" x14ac:dyDescent="0.2">
      <c r="A20" s="48" t="s">
        <v>46</v>
      </c>
      <c r="B20" s="43">
        <v>0</v>
      </c>
      <c r="C20" s="43">
        <v>0</v>
      </c>
      <c r="D20" s="43">
        <v>0</v>
      </c>
      <c r="E20" s="43">
        <f>'اليومية الامريكية'!P18</f>
        <v>2228</v>
      </c>
      <c r="F20" s="43">
        <v>0</v>
      </c>
      <c r="G20" s="43">
        <f t="shared" si="1"/>
        <v>2228</v>
      </c>
    </row>
    <row r="21" spans="1:7" x14ac:dyDescent="0.2">
      <c r="A21" s="48" t="s">
        <v>47</v>
      </c>
      <c r="B21" s="43">
        <v>0</v>
      </c>
      <c r="C21" s="43">
        <v>0</v>
      </c>
      <c r="D21" s="43">
        <f>'اليومية الامريكية'!AC18</f>
        <v>60000</v>
      </c>
      <c r="E21" s="43">
        <f>'اليومية الامريكية'!AD18</f>
        <v>2600</v>
      </c>
      <c r="F21" s="43">
        <f t="shared" si="2"/>
        <v>57400</v>
      </c>
      <c r="G21" s="43">
        <v>0</v>
      </c>
    </row>
    <row r="22" spans="1:7" x14ac:dyDescent="0.2">
      <c r="A22" s="48" t="s">
        <v>48</v>
      </c>
      <c r="B22" s="43">
        <v>0</v>
      </c>
      <c r="C22" s="43">
        <v>0</v>
      </c>
      <c r="D22" s="43">
        <f>'اليومية الامريكية'!AE18</f>
        <v>2600</v>
      </c>
      <c r="E22" s="43">
        <f>'اليومية الامريكية'!AF18</f>
        <v>0</v>
      </c>
      <c r="F22" s="43">
        <f t="shared" si="2"/>
        <v>2600</v>
      </c>
      <c r="G22" s="43">
        <v>0</v>
      </c>
    </row>
    <row r="23" spans="1:7" x14ac:dyDescent="0.2">
      <c r="A23" s="48" t="s">
        <v>32</v>
      </c>
      <c r="B23" s="43">
        <v>0</v>
      </c>
      <c r="C23" s="43">
        <v>0</v>
      </c>
      <c r="D23" s="43">
        <f>'اليومية الامريكية'!AI18</f>
        <v>30000</v>
      </c>
      <c r="E23" s="43">
        <f>'اليومية الامريكية'!AJ18</f>
        <v>0</v>
      </c>
      <c r="F23" s="43">
        <f t="shared" si="2"/>
        <v>30000</v>
      </c>
      <c r="G23" s="43">
        <v>0</v>
      </c>
    </row>
    <row r="24" spans="1:7" x14ac:dyDescent="0.2">
      <c r="A24" s="48" t="s">
        <v>33</v>
      </c>
      <c r="B24" s="43">
        <v>0</v>
      </c>
      <c r="C24" s="43">
        <v>0</v>
      </c>
      <c r="D24" s="43">
        <f>'اليومية الامريكية'!AK18</f>
        <v>0</v>
      </c>
      <c r="E24" s="43">
        <f>'اليومية الامريكية'!AL18</f>
        <v>30000</v>
      </c>
      <c r="F24" s="43">
        <v>0</v>
      </c>
      <c r="G24" s="43">
        <f t="shared" si="1"/>
        <v>30000</v>
      </c>
    </row>
    <row r="25" spans="1:7" x14ac:dyDescent="0.2">
      <c r="A25" s="48" t="s">
        <v>25</v>
      </c>
      <c r="B25" s="43">
        <v>0</v>
      </c>
      <c r="C25" s="43">
        <v>0</v>
      </c>
      <c r="D25" s="43">
        <f>'اليومية الامريكية'!U18</f>
        <v>4000</v>
      </c>
      <c r="E25" s="43">
        <f>'اليومية الامريكية'!V18</f>
        <v>0</v>
      </c>
      <c r="F25" s="43">
        <f t="shared" si="2"/>
        <v>4000</v>
      </c>
      <c r="G25" s="43">
        <v>0</v>
      </c>
    </row>
    <row r="26" spans="1:7" x14ac:dyDescent="0.2">
      <c r="A26" s="8" t="s">
        <v>6</v>
      </c>
      <c r="B26" s="44">
        <f>SUM(B4:B25)</f>
        <v>3105000</v>
      </c>
      <c r="C26" s="44">
        <f t="shared" ref="C26:G26" si="4">SUM(C4:C25)</f>
        <v>3105000</v>
      </c>
      <c r="D26" s="44">
        <f t="shared" si="4"/>
        <v>720345</v>
      </c>
      <c r="E26" s="44">
        <f t="shared" si="4"/>
        <v>720345</v>
      </c>
      <c r="F26" s="44">
        <f t="shared" si="4"/>
        <v>3256988</v>
      </c>
      <c r="G26" s="44">
        <f t="shared" si="4"/>
        <v>3256988</v>
      </c>
    </row>
    <row r="28" spans="1:7" x14ac:dyDescent="0.2">
      <c r="E28" s="45"/>
      <c r="F28" s="45"/>
    </row>
  </sheetData>
  <mergeCells count="5">
    <mergeCell ref="A1:G1"/>
    <mergeCell ref="A2:A3"/>
    <mergeCell ref="B2:C2"/>
    <mergeCell ref="D2:E2"/>
    <mergeCell ref="F2:G2"/>
  </mergeCells>
  <conditionalFormatting sqref="B4:G25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D0FB-4AF8-D646-9439-C514D9D8EE1E}">
  <dimension ref="A1:D65"/>
  <sheetViews>
    <sheetView rightToLeft="1" topLeftCell="A55" zoomScale="113" workbookViewId="0">
      <selection activeCell="B51" sqref="B51"/>
    </sheetView>
  </sheetViews>
  <sheetFormatPr defaultColWidth="10.7265625" defaultRowHeight="15" x14ac:dyDescent="0.2"/>
  <cols>
    <col min="1" max="1" width="21.703125" customWidth="1"/>
    <col min="2" max="2" width="36.00390625" style="21" customWidth="1"/>
  </cols>
  <sheetData>
    <row r="1" spans="1:4" x14ac:dyDescent="0.2">
      <c r="A1" s="52" t="s">
        <v>51</v>
      </c>
      <c r="B1" s="52"/>
    </row>
    <row r="2" spans="1:4" x14ac:dyDescent="0.2">
      <c r="A2" s="8" t="s">
        <v>2</v>
      </c>
      <c r="B2" s="20" t="s">
        <v>52</v>
      </c>
    </row>
    <row r="3" spans="1:4" x14ac:dyDescent="0.2">
      <c r="A3" s="1" t="s">
        <v>53</v>
      </c>
      <c r="B3" s="12">
        <v>500000</v>
      </c>
    </row>
    <row r="4" spans="1:4" x14ac:dyDescent="0.2">
      <c r="A4" s="1" t="s">
        <v>54</v>
      </c>
      <c r="B4" s="12">
        <v>500000</v>
      </c>
    </row>
    <row r="5" spans="1:4" x14ac:dyDescent="0.2">
      <c r="A5" s="1" t="s">
        <v>55</v>
      </c>
      <c r="B5" s="12">
        <v>500000</v>
      </c>
    </row>
    <row r="6" spans="1:4" x14ac:dyDescent="0.2">
      <c r="A6" s="1" t="s">
        <v>56</v>
      </c>
      <c r="B6" s="12">
        <v>500000</v>
      </c>
    </row>
    <row r="7" spans="1:4" x14ac:dyDescent="0.2">
      <c r="A7" s="8" t="s">
        <v>6</v>
      </c>
      <c r="B7" s="20">
        <f>SUM(B3:B6)</f>
        <v>2000000</v>
      </c>
    </row>
    <row r="8" spans="1:4" x14ac:dyDescent="0.2">
      <c r="A8" s="57" t="s">
        <v>57</v>
      </c>
      <c r="B8" s="58"/>
    </row>
    <row r="9" spans="1:4" x14ac:dyDescent="0.2">
      <c r="A9" s="8" t="s">
        <v>2</v>
      </c>
      <c r="B9" s="20" t="s">
        <v>52</v>
      </c>
    </row>
    <row r="10" spans="1:4" x14ac:dyDescent="0.2">
      <c r="A10" s="1" t="s">
        <v>58</v>
      </c>
      <c r="B10" s="12">
        <v>0</v>
      </c>
    </row>
    <row r="11" spans="1:4" x14ac:dyDescent="0.2">
      <c r="A11" s="1" t="s">
        <v>59</v>
      </c>
      <c r="B11" s="12">
        <v>0</v>
      </c>
    </row>
    <row r="12" spans="1:4" x14ac:dyDescent="0.2">
      <c r="A12" s="8" t="s">
        <v>6</v>
      </c>
      <c r="B12" s="20">
        <f>SUM(B10:B11)</f>
        <v>0</v>
      </c>
    </row>
    <row r="13" spans="1:4" x14ac:dyDescent="0.2">
      <c r="A13" s="57" t="s">
        <v>60</v>
      </c>
      <c r="B13" s="58"/>
    </row>
    <row r="14" spans="1:4" x14ac:dyDescent="0.2">
      <c r="A14" s="8" t="s">
        <v>2</v>
      </c>
      <c r="B14" s="20" t="s">
        <v>52</v>
      </c>
    </row>
    <row r="15" spans="1:4" x14ac:dyDescent="0.2">
      <c r="A15" s="1" t="s">
        <v>61</v>
      </c>
      <c r="B15" s="12">
        <f>'ميزان المراجعة '!F5</f>
        <v>259770</v>
      </c>
      <c r="D15" s="11"/>
    </row>
    <row r="16" spans="1:4" x14ac:dyDescent="0.2">
      <c r="A16" s="1" t="s">
        <v>20</v>
      </c>
      <c r="B16" s="12">
        <f>'ميزان المراجعة '!F6</f>
        <v>690093</v>
      </c>
    </row>
    <row r="17" spans="1:2" x14ac:dyDescent="0.2">
      <c r="A17" s="8" t="s">
        <v>6</v>
      </c>
      <c r="B17" s="20">
        <f>SUM(B15:B16)</f>
        <v>949863</v>
      </c>
    </row>
    <row r="18" spans="1:2" x14ac:dyDescent="0.2">
      <c r="A18" s="57" t="s">
        <v>62</v>
      </c>
      <c r="B18" s="58"/>
    </row>
    <row r="19" spans="1:2" x14ac:dyDescent="0.2">
      <c r="A19" s="8" t="s">
        <v>2</v>
      </c>
      <c r="B19" s="20" t="s">
        <v>52</v>
      </c>
    </row>
    <row r="20" spans="1:2" x14ac:dyDescent="0.2">
      <c r="A20" s="1" t="s">
        <v>63</v>
      </c>
      <c r="B20" s="12">
        <f>'ميزان المراجعة '!G16</f>
        <v>159000</v>
      </c>
    </row>
    <row r="21" spans="1:2" x14ac:dyDescent="0.2">
      <c r="A21" s="1" t="s">
        <v>64</v>
      </c>
      <c r="B21" s="12"/>
    </row>
    <row r="22" spans="1:2" x14ac:dyDescent="0.2">
      <c r="A22" s="1" t="s">
        <v>65</v>
      </c>
      <c r="B22" s="12">
        <v>0</v>
      </c>
    </row>
    <row r="23" spans="1:2" x14ac:dyDescent="0.2">
      <c r="A23" s="1" t="s">
        <v>66</v>
      </c>
      <c r="B23" s="12">
        <f>'ميزان المراجعة '!F25</f>
        <v>4000</v>
      </c>
    </row>
    <row r="24" spans="1:2" x14ac:dyDescent="0.2">
      <c r="A24" s="8" t="s">
        <v>6</v>
      </c>
      <c r="B24" s="20">
        <f>B20-B22-B23</f>
        <v>155000</v>
      </c>
    </row>
    <row r="25" spans="1:2" x14ac:dyDescent="0.2">
      <c r="A25" s="57" t="s">
        <v>67</v>
      </c>
      <c r="B25" s="58"/>
    </row>
    <row r="26" spans="1:2" x14ac:dyDescent="0.2">
      <c r="A26" s="8" t="s">
        <v>2</v>
      </c>
      <c r="B26" s="20" t="s">
        <v>52</v>
      </c>
    </row>
    <row r="27" spans="1:2" x14ac:dyDescent="0.2">
      <c r="A27" s="1" t="s">
        <v>68</v>
      </c>
      <c r="B27" s="12">
        <v>0</v>
      </c>
    </row>
    <row r="28" spans="1:2" x14ac:dyDescent="0.2">
      <c r="A28" s="1" t="s">
        <v>69</v>
      </c>
      <c r="B28" s="12">
        <v>0</v>
      </c>
    </row>
    <row r="29" spans="1:2" x14ac:dyDescent="0.2">
      <c r="A29" s="8" t="s">
        <v>6</v>
      </c>
      <c r="B29" s="20">
        <f>SUM(B27:B28)</f>
        <v>0</v>
      </c>
    </row>
    <row r="30" spans="1:2" x14ac:dyDescent="0.2">
      <c r="A30" s="57" t="s">
        <v>70</v>
      </c>
      <c r="B30" s="58"/>
    </row>
    <row r="31" spans="1:2" x14ac:dyDescent="0.2">
      <c r="A31" s="8" t="s">
        <v>2</v>
      </c>
      <c r="B31" s="20" t="s">
        <v>52</v>
      </c>
    </row>
    <row r="32" spans="1:2" x14ac:dyDescent="0.2">
      <c r="A32" s="1" t="s">
        <v>71</v>
      </c>
      <c r="B32" s="12">
        <v>0</v>
      </c>
    </row>
    <row r="33" spans="1:2" x14ac:dyDescent="0.2">
      <c r="A33" s="1" t="s">
        <v>72</v>
      </c>
      <c r="B33" s="12">
        <v>0</v>
      </c>
    </row>
    <row r="34" spans="1:2" x14ac:dyDescent="0.2">
      <c r="A34" s="8" t="s">
        <v>6</v>
      </c>
      <c r="B34" s="20">
        <f>SUM(B32:B33)</f>
        <v>0</v>
      </c>
    </row>
    <row r="35" spans="1:2" x14ac:dyDescent="0.2">
      <c r="A35" s="57" t="s">
        <v>73</v>
      </c>
      <c r="B35" s="58"/>
    </row>
    <row r="36" spans="1:2" x14ac:dyDescent="0.2">
      <c r="A36" s="8" t="s">
        <v>2</v>
      </c>
      <c r="B36" s="20" t="s">
        <v>52</v>
      </c>
    </row>
    <row r="37" spans="1:2" x14ac:dyDescent="0.2">
      <c r="A37" s="1" t="s">
        <v>73</v>
      </c>
      <c r="B37" s="12">
        <f>'ميزان المراجعة '!F15</f>
        <v>112750</v>
      </c>
    </row>
    <row r="38" spans="1:2" x14ac:dyDescent="0.2">
      <c r="A38" s="1" t="s">
        <v>64</v>
      </c>
      <c r="B38" s="12"/>
    </row>
    <row r="39" spans="1:2" x14ac:dyDescent="0.2">
      <c r="A39" s="1" t="s">
        <v>74</v>
      </c>
      <c r="B39" s="12">
        <f>'ميزان المراجعة '!G18</f>
        <v>1800</v>
      </c>
    </row>
    <row r="40" spans="1:2" x14ac:dyDescent="0.2">
      <c r="A40" s="8" t="s">
        <v>6</v>
      </c>
      <c r="B40" s="20">
        <f>B37-B39</f>
        <v>110950</v>
      </c>
    </row>
    <row r="41" spans="1:2" x14ac:dyDescent="0.2">
      <c r="A41" s="57" t="s">
        <v>75</v>
      </c>
      <c r="B41" s="58"/>
    </row>
    <row r="42" spans="1:2" x14ac:dyDescent="0.2">
      <c r="A42" s="8" t="s">
        <v>2</v>
      </c>
      <c r="B42" s="20" t="s">
        <v>52</v>
      </c>
    </row>
    <row r="43" spans="1:2" x14ac:dyDescent="0.2">
      <c r="A43" s="1" t="s">
        <v>39</v>
      </c>
      <c r="B43" s="12">
        <f>'ميزان المراجعة '!F9</f>
        <v>40000</v>
      </c>
    </row>
    <row r="44" spans="1:2" x14ac:dyDescent="0.2">
      <c r="A44" s="1" t="s">
        <v>76</v>
      </c>
      <c r="B44" s="12">
        <v>0</v>
      </c>
    </row>
    <row r="45" spans="1:2" x14ac:dyDescent="0.2">
      <c r="A45" s="1" t="s">
        <v>77</v>
      </c>
      <c r="B45" s="12">
        <v>0</v>
      </c>
    </row>
    <row r="46" spans="1:2" x14ac:dyDescent="0.2">
      <c r="A46" s="1" t="s">
        <v>78</v>
      </c>
      <c r="B46" s="12">
        <f>'ميزان المراجعة '!F17</f>
        <v>3885</v>
      </c>
    </row>
    <row r="47" spans="1:2" x14ac:dyDescent="0.2">
      <c r="A47" s="1" t="s">
        <v>79</v>
      </c>
      <c r="B47" s="12">
        <f>'ميزان المراجعة '!F19</f>
        <v>2290</v>
      </c>
    </row>
    <row r="48" spans="1:2" x14ac:dyDescent="0.2">
      <c r="A48" s="1" t="s">
        <v>80</v>
      </c>
      <c r="B48" s="12">
        <f>'ميزان المراجعة '!F21</f>
        <v>57400</v>
      </c>
    </row>
    <row r="49" spans="1:2" x14ac:dyDescent="0.2">
      <c r="A49" s="8" t="s">
        <v>6</v>
      </c>
      <c r="B49" s="20">
        <f>SUM(B43:B48)</f>
        <v>103575</v>
      </c>
    </row>
    <row r="50" spans="1:2" x14ac:dyDescent="0.2">
      <c r="A50" s="57" t="s">
        <v>81</v>
      </c>
      <c r="B50" s="58"/>
    </row>
    <row r="51" spans="1:2" x14ac:dyDescent="0.2">
      <c r="A51" s="8" t="s">
        <v>2</v>
      </c>
      <c r="B51" s="20" t="s">
        <v>52</v>
      </c>
    </row>
    <row r="52" spans="1:2" x14ac:dyDescent="0.2">
      <c r="A52" s="1" t="s">
        <v>82</v>
      </c>
      <c r="B52" s="12">
        <f>'ميزان المراجعة '!G13</f>
        <v>45000</v>
      </c>
    </row>
    <row r="53" spans="1:2" x14ac:dyDescent="0.2">
      <c r="A53" s="1" t="s">
        <v>83</v>
      </c>
      <c r="B53" s="12">
        <v>0</v>
      </c>
    </row>
    <row r="54" spans="1:2" x14ac:dyDescent="0.2">
      <c r="A54" s="1" t="s">
        <v>84</v>
      </c>
      <c r="B54" s="12">
        <v>0</v>
      </c>
    </row>
    <row r="55" spans="1:2" x14ac:dyDescent="0.2">
      <c r="A55" s="1" t="s">
        <v>78</v>
      </c>
      <c r="B55" s="12">
        <v>0</v>
      </c>
    </row>
    <row r="56" spans="1:2" x14ac:dyDescent="0.2">
      <c r="A56" s="1" t="s">
        <v>85</v>
      </c>
      <c r="B56" s="12">
        <f>'ميزان المراجعة '!G20</f>
        <v>2228</v>
      </c>
    </row>
    <row r="57" spans="1:2" x14ac:dyDescent="0.2">
      <c r="A57" s="8" t="s">
        <v>6</v>
      </c>
      <c r="B57" s="20">
        <f>SUM(B52:B56)</f>
        <v>47228</v>
      </c>
    </row>
    <row r="58" spans="1:2" x14ac:dyDescent="0.2">
      <c r="A58" s="57" t="s">
        <v>86</v>
      </c>
      <c r="B58" s="58"/>
    </row>
    <row r="59" spans="1:2" x14ac:dyDescent="0.2">
      <c r="A59" s="8" t="s">
        <v>2</v>
      </c>
      <c r="B59" s="20" t="s">
        <v>52</v>
      </c>
    </row>
    <row r="60" spans="1:2" x14ac:dyDescent="0.2">
      <c r="A60" s="1" t="s">
        <v>87</v>
      </c>
      <c r="B60" s="12">
        <v>0</v>
      </c>
    </row>
    <row r="61" spans="1:2" x14ac:dyDescent="0.2">
      <c r="A61" s="1" t="s">
        <v>88</v>
      </c>
      <c r="B61" s="12">
        <v>0</v>
      </c>
    </row>
    <row r="62" spans="1:2" x14ac:dyDescent="0.2">
      <c r="A62" s="1" t="s">
        <v>89</v>
      </c>
      <c r="B62" s="12">
        <v>0</v>
      </c>
    </row>
    <row r="63" spans="1:2" x14ac:dyDescent="0.2">
      <c r="A63" s="1" t="s">
        <v>90</v>
      </c>
      <c r="B63" s="12">
        <v>0</v>
      </c>
    </row>
    <row r="64" spans="1:2" x14ac:dyDescent="0.2">
      <c r="A64" s="1" t="s">
        <v>91</v>
      </c>
      <c r="B64" s="12">
        <v>0</v>
      </c>
    </row>
    <row r="65" spans="1:2" x14ac:dyDescent="0.2">
      <c r="A65" s="8" t="s">
        <v>6</v>
      </c>
      <c r="B65" s="20">
        <f>B60+B61-B62-B63-B64</f>
        <v>0</v>
      </c>
    </row>
  </sheetData>
  <mergeCells count="10">
    <mergeCell ref="A25:B25"/>
    <mergeCell ref="A1:B1"/>
    <mergeCell ref="A8:B8"/>
    <mergeCell ref="A13:B13"/>
    <mergeCell ref="A18:B18"/>
    <mergeCell ref="A30:B30"/>
    <mergeCell ref="A35:B35"/>
    <mergeCell ref="A41:B41"/>
    <mergeCell ref="A50:B50"/>
    <mergeCell ref="A58:B5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5683-210B-184D-BFEC-D9FE6F6B807A}">
  <dimension ref="A1:C21"/>
  <sheetViews>
    <sheetView rightToLeft="1" topLeftCell="A3" workbookViewId="0">
      <selection activeCell="B4" sqref="B4"/>
    </sheetView>
  </sheetViews>
  <sheetFormatPr defaultColWidth="10.7265625" defaultRowHeight="15" x14ac:dyDescent="0.2"/>
  <cols>
    <col min="1" max="1" width="18.7421875" bestFit="1" customWidth="1"/>
    <col min="2" max="2" width="10.109375" bestFit="1" customWidth="1"/>
    <col min="3" max="3" width="62.1484375" bestFit="1" customWidth="1"/>
  </cols>
  <sheetData>
    <row r="1" spans="1:3" x14ac:dyDescent="0.2">
      <c r="A1" s="52" t="s">
        <v>92</v>
      </c>
      <c r="B1" s="52"/>
      <c r="C1" s="42" t="s">
        <v>154</v>
      </c>
    </row>
    <row r="2" spans="1:3" x14ac:dyDescent="0.2">
      <c r="A2" s="6">
        <v>44927</v>
      </c>
      <c r="B2" s="6">
        <v>44962</v>
      </c>
    </row>
    <row r="3" spans="1:3" x14ac:dyDescent="0.2">
      <c r="A3" s="8" t="s">
        <v>2</v>
      </c>
      <c r="B3" s="20" t="s">
        <v>52</v>
      </c>
    </row>
    <row r="4" spans="1:3" ht="17.25" x14ac:dyDescent="0.2">
      <c r="A4" s="1" t="s">
        <v>93</v>
      </c>
      <c r="B4" s="24">
        <f>'الإيضاحات المتممة'!B24</f>
        <v>155000</v>
      </c>
      <c r="C4" s="38" t="s">
        <v>137</v>
      </c>
    </row>
    <row r="5" spans="1:3" x14ac:dyDescent="0.2">
      <c r="A5" s="1" t="s">
        <v>64</v>
      </c>
      <c r="B5" s="24"/>
      <c r="C5" t="s">
        <v>139</v>
      </c>
    </row>
    <row r="6" spans="1:3" x14ac:dyDescent="0.2">
      <c r="A6" s="1" t="s">
        <v>23</v>
      </c>
      <c r="B6" s="24">
        <f>'الإيضاحات المتممة'!B40</f>
        <v>110950</v>
      </c>
      <c r="C6" s="39" t="s">
        <v>138</v>
      </c>
    </row>
    <row r="7" spans="1:3" x14ac:dyDescent="0.2">
      <c r="A7" s="22" t="s">
        <v>94</v>
      </c>
      <c r="B7" s="25">
        <f>B4-B6</f>
        <v>44050</v>
      </c>
      <c r="C7" t="s">
        <v>140</v>
      </c>
    </row>
    <row r="8" spans="1:3" x14ac:dyDescent="0.2">
      <c r="A8" s="1" t="s">
        <v>95</v>
      </c>
      <c r="B8" s="24"/>
    </row>
    <row r="9" spans="1:3" x14ac:dyDescent="0.2">
      <c r="A9" s="1" t="s">
        <v>96</v>
      </c>
      <c r="B9" s="24">
        <v>0</v>
      </c>
      <c r="C9" t="s">
        <v>141</v>
      </c>
    </row>
    <row r="10" spans="1:3" x14ac:dyDescent="0.2">
      <c r="A10" s="1" t="s">
        <v>97</v>
      </c>
      <c r="B10" s="24">
        <v>0</v>
      </c>
      <c r="C10" t="s">
        <v>142</v>
      </c>
    </row>
    <row r="11" spans="1:3" x14ac:dyDescent="0.2">
      <c r="A11" s="1" t="s">
        <v>98</v>
      </c>
      <c r="B11" s="24">
        <v>0</v>
      </c>
      <c r="C11" t="s">
        <v>143</v>
      </c>
    </row>
    <row r="12" spans="1:3" x14ac:dyDescent="0.2">
      <c r="A12" s="1" t="s">
        <v>99</v>
      </c>
      <c r="B12" s="24">
        <v>0</v>
      </c>
      <c r="C12" t="s">
        <v>144</v>
      </c>
    </row>
    <row r="13" spans="1:3" x14ac:dyDescent="0.2">
      <c r="A13" s="1" t="s">
        <v>64</v>
      </c>
      <c r="B13" s="24"/>
      <c r="C13" t="s">
        <v>145</v>
      </c>
    </row>
    <row r="14" spans="1:3" x14ac:dyDescent="0.2">
      <c r="A14" s="1" t="s">
        <v>100</v>
      </c>
      <c r="B14" s="24">
        <v>0</v>
      </c>
      <c r="C14" t="s">
        <v>146</v>
      </c>
    </row>
    <row r="15" spans="1:3" x14ac:dyDescent="0.2">
      <c r="A15" s="1" t="s">
        <v>101</v>
      </c>
      <c r="B15" s="24">
        <f>'ميزان المراجعة '!F23</f>
        <v>30000</v>
      </c>
      <c r="C15" t="s">
        <v>147</v>
      </c>
    </row>
    <row r="16" spans="1:3" ht="16.5" x14ac:dyDescent="0.25">
      <c r="A16" s="41" t="s">
        <v>102</v>
      </c>
      <c r="B16" s="24">
        <v>0</v>
      </c>
      <c r="C16" s="40" t="s">
        <v>148</v>
      </c>
    </row>
    <row r="17" spans="1:3" x14ac:dyDescent="0.2">
      <c r="A17" s="1" t="s">
        <v>103</v>
      </c>
      <c r="B17" s="24">
        <v>0</v>
      </c>
      <c r="C17" t="s">
        <v>149</v>
      </c>
    </row>
    <row r="18" spans="1:3" ht="17.25" x14ac:dyDescent="0.25">
      <c r="A18" s="1" t="s">
        <v>104</v>
      </c>
      <c r="B18" s="24">
        <v>0</v>
      </c>
      <c r="C18" s="37" t="s">
        <v>150</v>
      </c>
    </row>
    <row r="19" spans="1:3" ht="16.5" x14ac:dyDescent="0.25">
      <c r="A19" s="1" t="s">
        <v>105</v>
      </c>
      <c r="B19" s="24">
        <v>0</v>
      </c>
      <c r="C19" s="40" t="s">
        <v>151</v>
      </c>
    </row>
    <row r="20" spans="1:3" x14ac:dyDescent="0.2">
      <c r="A20" s="22" t="s">
        <v>106</v>
      </c>
      <c r="B20" s="25">
        <f>B7+SUM(B9:B12)-SUM(B14:B19)</f>
        <v>14050</v>
      </c>
      <c r="C20" t="s">
        <v>152</v>
      </c>
    </row>
    <row r="21" spans="1:3" x14ac:dyDescent="0.2">
      <c r="A21" s="23"/>
      <c r="B21" s="26"/>
      <c r="C21" t="s">
        <v>153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DE-ED2C-8847-831D-9F0809CD05DD}">
  <dimension ref="A1:O40"/>
  <sheetViews>
    <sheetView rightToLeft="1" tabSelected="1" topLeftCell="A35" workbookViewId="0">
      <selection activeCell="C37" sqref="C37"/>
    </sheetView>
  </sheetViews>
  <sheetFormatPr defaultColWidth="10.7265625" defaultRowHeight="15" x14ac:dyDescent="0.2"/>
  <cols>
    <col min="1" max="1" width="46.2421875" customWidth="1"/>
    <col min="2" max="2" width="21.94921875" customWidth="1"/>
    <col min="3" max="3" width="11.9609375" bestFit="1" customWidth="1"/>
  </cols>
  <sheetData>
    <row r="1" spans="1:3" x14ac:dyDescent="0.2">
      <c r="A1" s="59" t="s">
        <v>107</v>
      </c>
      <c r="B1" s="59"/>
    </row>
    <row r="2" spans="1:3" x14ac:dyDescent="0.2">
      <c r="A2" s="8" t="s">
        <v>2</v>
      </c>
      <c r="B2" s="20" t="s">
        <v>52</v>
      </c>
    </row>
    <row r="3" spans="1:3" x14ac:dyDescent="0.2">
      <c r="A3" s="52" t="s">
        <v>108</v>
      </c>
      <c r="B3" s="52"/>
    </row>
    <row r="4" spans="1:3" x14ac:dyDescent="0.2">
      <c r="A4" s="1" t="s">
        <v>109</v>
      </c>
      <c r="B4" s="28">
        <f>'الإيضاحات المتممة'!B7</f>
        <v>2000000</v>
      </c>
    </row>
    <row r="5" spans="1:3" x14ac:dyDescent="0.2">
      <c r="A5" s="1" t="s">
        <v>57</v>
      </c>
      <c r="B5" s="28">
        <v>0</v>
      </c>
    </row>
    <row r="6" spans="1:3" x14ac:dyDescent="0.2">
      <c r="A6" s="1" t="s">
        <v>110</v>
      </c>
      <c r="B6" s="28">
        <v>0</v>
      </c>
    </row>
    <row r="7" spans="1:3" x14ac:dyDescent="0.2">
      <c r="A7" s="1" t="s">
        <v>111</v>
      </c>
      <c r="B7" s="28">
        <v>0</v>
      </c>
    </row>
    <row r="8" spans="1:3" x14ac:dyDescent="0.2">
      <c r="A8" s="8" t="s">
        <v>112</v>
      </c>
      <c r="B8" s="29">
        <f>SUM(B4:B7)</f>
        <v>2000000</v>
      </c>
    </row>
    <row r="9" spans="1:3" x14ac:dyDescent="0.2">
      <c r="A9" s="52" t="s">
        <v>113</v>
      </c>
      <c r="B9" s="52"/>
    </row>
    <row r="10" spans="1:3" x14ac:dyDescent="0.2">
      <c r="A10" s="1" t="s">
        <v>21</v>
      </c>
      <c r="B10" s="30">
        <f>'ميزان المراجعة '!F14</f>
        <v>74000</v>
      </c>
    </row>
    <row r="11" spans="1:3" x14ac:dyDescent="0.2">
      <c r="A11" s="1" t="s">
        <v>114</v>
      </c>
      <c r="B11" s="30">
        <f>'ميزان المراجعة '!F8</f>
        <v>-29800</v>
      </c>
    </row>
    <row r="12" spans="1:3" x14ac:dyDescent="0.2">
      <c r="A12" s="1" t="s">
        <v>38</v>
      </c>
      <c r="B12" s="30">
        <f>'ميزان المراجعة '!F7</f>
        <v>10000</v>
      </c>
    </row>
    <row r="13" spans="1:3" x14ac:dyDescent="0.2">
      <c r="A13" s="1" t="s">
        <v>75</v>
      </c>
      <c r="B13" s="30">
        <f>'الإيضاحات المتممة'!B49</f>
        <v>103575</v>
      </c>
    </row>
    <row r="14" spans="1:3" x14ac:dyDescent="0.2">
      <c r="A14" s="1" t="s">
        <v>115</v>
      </c>
      <c r="B14" s="31">
        <v>0</v>
      </c>
      <c r="C14" s="46"/>
    </row>
    <row r="15" spans="1:3" x14ac:dyDescent="0.2">
      <c r="A15" s="1" t="s">
        <v>155</v>
      </c>
      <c r="B15" s="31">
        <f>'ميزان المراجعة '!F22</f>
        <v>2600</v>
      </c>
      <c r="C15" s="46"/>
    </row>
    <row r="16" spans="1:3" x14ac:dyDescent="0.2">
      <c r="A16" s="1" t="s">
        <v>60</v>
      </c>
      <c r="B16" s="30">
        <f>'الإيضاحات المتممة'!B17</f>
        <v>949863</v>
      </c>
    </row>
    <row r="17" spans="1:3" x14ac:dyDescent="0.2">
      <c r="A17" s="8" t="s">
        <v>116</v>
      </c>
      <c r="B17" s="32">
        <f>SUM(B10:B16)</f>
        <v>1110238</v>
      </c>
    </row>
    <row r="18" spans="1:3" x14ac:dyDescent="0.2">
      <c r="A18" s="22" t="s">
        <v>117</v>
      </c>
      <c r="B18" s="33">
        <f>B8+B17</f>
        <v>3110238</v>
      </c>
    </row>
    <row r="19" spans="1:3" x14ac:dyDescent="0.2">
      <c r="A19" s="51" t="s">
        <v>118</v>
      </c>
      <c r="B19" s="51"/>
      <c r="C19" s="47"/>
    </row>
    <row r="20" spans="1:3" x14ac:dyDescent="0.2">
      <c r="A20" s="57" t="s">
        <v>119</v>
      </c>
      <c r="B20" s="58"/>
      <c r="C20" s="47"/>
    </row>
    <row r="21" spans="1:3" x14ac:dyDescent="0.2">
      <c r="A21" s="1" t="s">
        <v>120</v>
      </c>
      <c r="B21" s="34">
        <f>'ميزان المراجعة '!G10</f>
        <v>3000000</v>
      </c>
    </row>
    <row r="22" spans="1:3" x14ac:dyDescent="0.2">
      <c r="A22" s="1" t="s">
        <v>121</v>
      </c>
      <c r="B22" s="34">
        <v>0</v>
      </c>
    </row>
    <row r="23" spans="1:3" x14ac:dyDescent="0.2">
      <c r="A23" s="1" t="s">
        <v>122</v>
      </c>
      <c r="B23" s="34"/>
    </row>
    <row r="24" spans="1:3" x14ac:dyDescent="0.2">
      <c r="A24" s="1" t="s">
        <v>123</v>
      </c>
      <c r="B24" s="34">
        <f>'قائمة الدخل'!B20</f>
        <v>14050</v>
      </c>
    </row>
    <row r="25" spans="1:3" x14ac:dyDescent="0.2">
      <c r="A25" s="1" t="s">
        <v>124</v>
      </c>
      <c r="B25" s="34">
        <v>0</v>
      </c>
    </row>
    <row r="26" spans="1:3" x14ac:dyDescent="0.2">
      <c r="A26" s="8" t="s">
        <v>125</v>
      </c>
      <c r="B26" s="32">
        <f>SUM(B21:B25)</f>
        <v>3014050</v>
      </c>
    </row>
    <row r="27" spans="1:3" x14ac:dyDescent="0.2">
      <c r="A27" s="52" t="s">
        <v>126</v>
      </c>
      <c r="B27" s="52"/>
    </row>
    <row r="28" spans="1:3" x14ac:dyDescent="0.2">
      <c r="A28" s="1" t="s">
        <v>127</v>
      </c>
      <c r="B28" s="12">
        <v>0</v>
      </c>
    </row>
    <row r="29" spans="1:3" x14ac:dyDescent="0.2">
      <c r="A29" s="1" t="s">
        <v>128</v>
      </c>
      <c r="B29" s="12">
        <v>0</v>
      </c>
    </row>
    <row r="30" spans="1:3" x14ac:dyDescent="0.2">
      <c r="A30" s="8" t="s">
        <v>129</v>
      </c>
      <c r="B30" s="20">
        <f>SUM(B28:B29)</f>
        <v>0</v>
      </c>
    </row>
    <row r="31" spans="1:3" x14ac:dyDescent="0.2">
      <c r="A31" s="52" t="s">
        <v>130</v>
      </c>
      <c r="B31" s="52"/>
    </row>
    <row r="32" spans="1:3" x14ac:dyDescent="0.2">
      <c r="A32" s="1" t="s">
        <v>70</v>
      </c>
      <c r="B32" s="30">
        <f>'ميزان المراجعة '!G6</f>
        <v>0</v>
      </c>
    </row>
    <row r="33" spans="1:15" x14ac:dyDescent="0.2">
      <c r="A33" s="1" t="s">
        <v>131</v>
      </c>
      <c r="B33" s="30">
        <f>'ميزان المراجعة '!G11+'ميزان المراجعة '!G12</f>
        <v>18960</v>
      </c>
      <c r="O33" t="s">
        <v>136</v>
      </c>
    </row>
    <row r="34" spans="1:15" x14ac:dyDescent="0.2">
      <c r="A34" s="1" t="s">
        <v>132</v>
      </c>
      <c r="B34" s="30">
        <v>0</v>
      </c>
    </row>
    <row r="35" spans="1:15" x14ac:dyDescent="0.2">
      <c r="A35" s="1" t="s">
        <v>133</v>
      </c>
      <c r="B35" s="30">
        <v>0</v>
      </c>
    </row>
    <row r="36" spans="1:15" x14ac:dyDescent="0.2">
      <c r="A36" s="1" t="s">
        <v>156</v>
      </c>
      <c r="B36" s="30">
        <f>'ميزان المراجعة '!G24</f>
        <v>30000</v>
      </c>
    </row>
    <row r="37" spans="1:15" x14ac:dyDescent="0.2">
      <c r="A37" s="1" t="s">
        <v>81</v>
      </c>
      <c r="B37" s="30">
        <f>'الإيضاحات المتممة'!B57</f>
        <v>47228</v>
      </c>
    </row>
    <row r="38" spans="1:15" x14ac:dyDescent="0.2">
      <c r="A38" s="8" t="s">
        <v>134</v>
      </c>
      <c r="B38" s="32">
        <f>SUM(B32:B37)</f>
        <v>96188</v>
      </c>
    </row>
    <row r="39" spans="1:15" x14ac:dyDescent="0.2">
      <c r="A39" s="27" t="s">
        <v>135</v>
      </c>
      <c r="B39" s="35">
        <f>B26+B30+B38</f>
        <v>3110238</v>
      </c>
      <c r="C39" s="47"/>
    </row>
    <row r="40" spans="1:15" x14ac:dyDescent="0.2">
      <c r="B40" s="36"/>
    </row>
  </sheetData>
  <mergeCells count="7">
    <mergeCell ref="A31:B31"/>
    <mergeCell ref="A1:B1"/>
    <mergeCell ref="A3:B3"/>
    <mergeCell ref="A9:B9"/>
    <mergeCell ref="A19:B19"/>
    <mergeCell ref="A20:B20"/>
    <mergeCell ref="A27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اليومية الامريكية</vt:lpstr>
      <vt:lpstr>ميزان المراجعة </vt:lpstr>
      <vt:lpstr>الإيضاحات المتممة</vt:lpstr>
      <vt:lpstr>قائمة الدخل</vt:lpstr>
      <vt:lpstr>قائمة المركز المالي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الهنوف عبدالعزيز عبدالله الحسني</dc:creator>
  <cp:lastModifiedBy>Ahmed Mohalhal</cp:lastModifiedBy>
  <dcterms:created xsi:type="dcterms:W3CDTF">2023-10-04T14:07:46Z</dcterms:created>
  <dcterms:modified xsi:type="dcterms:W3CDTF">2026-01-02T15:56:30Z</dcterms:modified>
</cp:coreProperties>
</file>