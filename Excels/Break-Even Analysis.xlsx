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y Drive\Attachment\Projects\Excel\"/>
    </mc:Choice>
  </mc:AlternateContent>
  <xr:revisionPtr revIDLastSave="0" documentId="13_ncr:1_{AE7D47E6-1CFE-45EE-8802-8AF20E10F65D}" xr6:coauthVersionLast="47" xr6:coauthVersionMax="47" xr10:uidLastSave="{00000000-0000-0000-0000-000000000000}"/>
  <bookViews>
    <workbookView xWindow="4020" yWindow="2130" windowWidth="15375" windowHeight="7785" xr2:uid="{00000000-000D-0000-FFFF-FFFF00000000}"/>
  </bookViews>
  <sheets>
    <sheet name="بيانات الإدخال" sheetId="1" r:id="rId1"/>
    <sheet name="تحليل العائد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" i="2" l="1"/>
  <c r="D17" i="2"/>
  <c r="F17" i="2" s="1"/>
  <c r="C17" i="2"/>
  <c r="C2" i="2"/>
  <c r="C3" i="2"/>
  <c r="C4" i="2"/>
  <c r="C5" i="2"/>
  <c r="C6" i="2"/>
  <c r="C7" i="2"/>
  <c r="C8" i="2"/>
  <c r="C9" i="2"/>
  <c r="C10" i="2"/>
  <c r="C11" i="2"/>
  <c r="C12" i="2"/>
  <c r="D3" i="2"/>
  <c r="D4" i="2"/>
  <c r="D5" i="2"/>
  <c r="D6" i="2"/>
  <c r="D7" i="2"/>
  <c r="D8" i="2"/>
  <c r="D9" i="2"/>
  <c r="D10" i="2"/>
  <c r="D11" i="2"/>
  <c r="D12" i="2"/>
  <c r="D2" i="2"/>
  <c r="B3" i="2"/>
  <c r="B4" i="2"/>
  <c r="B5" i="2"/>
  <c r="B6" i="2"/>
  <c r="B7" i="2"/>
  <c r="B8" i="2"/>
  <c r="B9" i="2"/>
  <c r="B10" i="2"/>
  <c r="B11" i="2"/>
  <c r="B12" i="2"/>
  <c r="B2" i="2"/>
  <c r="B6" i="1"/>
  <c r="B9" i="1" s="1"/>
  <c r="B10" i="1" s="1"/>
  <c r="B7" i="1" l="1"/>
  <c r="G17" i="2"/>
  <c r="E3" i="2" l="1"/>
  <c r="E8" i="2" l="1"/>
  <c r="F8" i="2" s="1"/>
  <c r="E4" i="2"/>
  <c r="F4" i="2" s="1"/>
  <c r="E10" i="2"/>
  <c r="F10" i="2" s="1"/>
  <c r="F3" i="2"/>
  <c r="E6" i="2"/>
  <c r="F6" i="2" s="1"/>
  <c r="E9" i="2"/>
  <c r="F9" i="2" s="1"/>
  <c r="E11" i="2"/>
  <c r="F11" i="2" s="1"/>
  <c r="E7" i="2"/>
  <c r="F7" i="2" s="1"/>
  <c r="E5" i="2"/>
  <c r="F5" i="2" s="1"/>
  <c r="E12" i="2"/>
  <c r="F12" i="2" s="1"/>
  <c r="E2" i="2"/>
  <c r="F2" i="2" s="1"/>
</calcChain>
</file>

<file path=xl/sharedStrings.xml><?xml version="1.0" encoding="utf-8"?>
<sst xmlns="http://schemas.openxmlformats.org/spreadsheetml/2006/main" count="25" uniqueCount="19">
  <si>
    <t>سعر بيع الوحدة (جنيه)</t>
  </si>
  <si>
    <t>التكلفة المتغيرة للوحدة (جنيه)</t>
  </si>
  <si>
    <t>إجمالي التكاليف الثابتة (جنيه)</t>
  </si>
  <si>
    <t>نقطة التعادل بالوحدات</t>
  </si>
  <si>
    <t>نقطة التعادل بالقيمة (جنيه)</t>
  </si>
  <si>
    <t>العنصر</t>
  </si>
  <si>
    <t>القيمة</t>
  </si>
  <si>
    <t>عدد الوحدات المباعة</t>
  </si>
  <si>
    <t>الإيرادات (جنيه)</t>
  </si>
  <si>
    <t>التكاليف المتغيرة (جنيه)</t>
  </si>
  <si>
    <t>التكاليف الثابتة (جنيه)</t>
  </si>
  <si>
    <t>إجمالي التكاليف (جنيه)</t>
  </si>
  <si>
    <t>الربح/الخسارة (جنيه)</t>
  </si>
  <si>
    <t>هامش المساهمة للوحدة (جنيه)</t>
  </si>
  <si>
    <t>نسبة هامش المساهمة (%)</t>
  </si>
  <si>
    <t>احسب الربح أو الخسارة عند مستوى انتاج معين</t>
  </si>
  <si>
    <t>يمكنك إدخال البيانات الخاصة بك</t>
  </si>
  <si>
    <t>تمهيدي ماچستير محاسبة</t>
  </si>
  <si>
    <t>الباحث: أحمد محمد مهلهل احمد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</si>
</sst>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5" tint="0.59999389629810485"/>
        <bgColor theme="5" tint="0.59999389629810485"/>
      </patternFill>
    </fill>
    <fill>
      <patternFill patternType="solid">
        <fgColor rgb="FF00B0F0"/>
        <bgColor indexed="64"/>
      </patternFill>
    </fill>
  </fills>
  <borders count="19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 style="thick">
        <color theme="0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ck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ck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 style="thin">
        <color theme="5"/>
      </top>
      <bottom/>
      <diagonal/>
    </border>
    <border>
      <left/>
      <right/>
      <top/>
      <bottom style="thin">
        <color theme="5"/>
      </bottom>
      <diagonal/>
    </border>
    <border>
      <left style="thin">
        <color theme="5"/>
      </left>
      <right/>
      <top style="thin">
        <color theme="5"/>
      </top>
      <bottom/>
      <diagonal/>
    </border>
    <border>
      <left style="thin">
        <color theme="5"/>
      </left>
      <right/>
      <top/>
      <bottom/>
      <diagonal/>
    </border>
    <border>
      <left style="thin">
        <color theme="5"/>
      </left>
      <right/>
      <top/>
      <bottom style="thin">
        <color theme="5"/>
      </bottom>
      <diagonal/>
    </border>
    <border>
      <left/>
      <right style="thin">
        <color theme="5"/>
      </right>
      <top style="thin">
        <color theme="5"/>
      </top>
      <bottom/>
      <diagonal/>
    </border>
    <border>
      <left/>
      <right style="thin">
        <color theme="5"/>
      </right>
      <top/>
      <bottom/>
      <diagonal/>
    </border>
    <border>
      <left/>
      <right style="thin">
        <color theme="5"/>
      </right>
      <top/>
      <bottom style="thin">
        <color theme="5"/>
      </bottom>
      <diagonal/>
    </border>
    <border>
      <left/>
      <right/>
      <top style="thin">
        <color theme="5"/>
      </top>
      <bottom style="thin">
        <color theme="5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7">
    <xf numFmtId="0" fontId="0" fillId="0" borderId="0" xfId="0"/>
    <xf numFmtId="3" fontId="0" fillId="0" borderId="0" xfId="0" applyNumberFormat="1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3" fontId="3" fillId="0" borderId="0" xfId="0" applyNumberFormat="1" applyFont="1" applyAlignment="1">
      <alignment horizontal="center"/>
    </xf>
    <xf numFmtId="10" fontId="3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3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13" xfId="0" applyBorder="1"/>
    <xf numFmtId="0" fontId="0" fillId="0" borderId="17" xfId="0" applyBorder="1"/>
    <xf numFmtId="0" fontId="3" fillId="0" borderId="12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9" fontId="3" fillId="4" borderId="0" xfId="1" applyFont="1" applyFill="1" applyAlignment="1">
      <alignment horizontal="center" vertical="center" wrapText="1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3" fontId="0" fillId="3" borderId="6" xfId="0" applyNumberFormat="1" applyFill="1" applyBorder="1" applyAlignment="1">
      <alignment horizontal="center" vertical="center"/>
    </xf>
    <xf numFmtId="3" fontId="0" fillId="3" borderId="7" xfId="0" applyNumberForma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12">
    <dxf>
      <font>
        <b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</font>
      <numFmt numFmtId="3" formatCode="#,##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D9AC08-781B-4477-8460-6E37CB6FD21C}" name="Table1" displayName="Table1" ref="A1:B10" totalsRowShown="0" headerRowDxfId="11" dataDxfId="10">
  <autoFilter ref="A1:B10" xr:uid="{11D9AC08-781B-4477-8460-6E37CB6FD21C}"/>
  <tableColumns count="2">
    <tableColumn id="1" xr3:uid="{2994F619-B443-4202-B85F-580FF6CCC805}" name="العنصر" dataDxfId="9"/>
    <tableColumn id="2" xr3:uid="{47E69650-94A1-431A-914D-7DB47F8E4E4C}" name="القيمة" dataDxfId="8"/>
  </tableColumns>
  <tableStyleInfo name="TableStyleMedium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9DF5010-C056-45DB-BE65-D46189429853}" name="Table2" displayName="Table2" ref="A1:F12" totalsRowShown="0" headerRowDxfId="7" dataDxfId="6">
  <autoFilter ref="A1:F12" xr:uid="{79DF5010-C056-45DB-BE65-D46189429853}"/>
  <tableColumns count="6">
    <tableColumn id="1" xr3:uid="{9891F94C-8A03-45D1-B5D9-6CD89BC8911C}" name="عدد الوحدات المباعة" dataDxfId="5"/>
    <tableColumn id="2" xr3:uid="{85E31680-6AD2-4957-8AF1-5AC3CCB1054D}" name="الإيرادات (جنيه)" dataDxfId="4">
      <calculatedColumnFormula>'بيانات الإدخال'!$B$2*A2</calculatedColumnFormula>
    </tableColumn>
    <tableColumn id="3" xr3:uid="{DA175F21-3E5C-4E46-BB63-6D03FB6CD98B}" name="التكاليف المتغيرة (جنيه)" dataDxfId="3">
      <calculatedColumnFormula>A2*'بيانات الإدخال'!$B$3</calculatedColumnFormula>
    </tableColumn>
    <tableColumn id="4" xr3:uid="{E97B0027-36BA-4721-B158-C7E90905344D}" name="التكاليف الثابتة (جنيه)" dataDxfId="2">
      <calculatedColumnFormula>'بيانات الإدخال'!$B$4</calculatedColumnFormula>
    </tableColumn>
    <tableColumn id="5" xr3:uid="{18BE059D-169C-4DA2-866B-6C27AF40F915}" name="إجمالي التكاليف (جنيه)" dataDxfId="1">
      <calculatedColumnFormula>C2+D2</calculatedColumnFormula>
    </tableColumn>
    <tableColumn id="6" xr3:uid="{D4CA59B2-1985-4ED7-9AD7-10FD7B8B2200}" name="الربح/الخسارة (جنيه)" dataDxfId="0">
      <calculatedColumnFormula>B2-E2</calculatedColumnFormula>
    </tableColumn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"/>
  <sheetViews>
    <sheetView rightToLeft="1" tabSelected="1" topLeftCell="A5" zoomScale="99" workbookViewId="0">
      <selection activeCell="D12" sqref="D12"/>
    </sheetView>
  </sheetViews>
  <sheetFormatPr defaultRowHeight="15" x14ac:dyDescent="0.25"/>
  <cols>
    <col min="1" max="1" width="32.7109375" customWidth="1"/>
    <col min="2" max="2" width="8.7109375" style="1" customWidth="1"/>
  </cols>
  <sheetData>
    <row r="1" spans="1:14" x14ac:dyDescent="0.25">
      <c r="A1" s="2" t="s">
        <v>5</v>
      </c>
      <c r="B1" s="3" t="s">
        <v>6</v>
      </c>
    </row>
    <row r="2" spans="1:14" x14ac:dyDescent="0.25">
      <c r="A2" s="2" t="s">
        <v>0</v>
      </c>
      <c r="B2" s="4">
        <v>150</v>
      </c>
      <c r="C2" s="15" t="s">
        <v>16</v>
      </c>
      <c r="D2" s="16"/>
    </row>
    <row r="3" spans="1:14" x14ac:dyDescent="0.25">
      <c r="A3" s="2" t="s">
        <v>1</v>
      </c>
      <c r="B3" s="4">
        <v>40</v>
      </c>
      <c r="C3" s="17"/>
      <c r="D3" s="18"/>
    </row>
    <row r="4" spans="1:14" x14ac:dyDescent="0.25">
      <c r="A4" s="2" t="s">
        <v>2</v>
      </c>
      <c r="B4" s="4">
        <v>12000</v>
      </c>
      <c r="C4" s="19"/>
      <c r="D4" s="20"/>
    </row>
    <row r="5" spans="1:14" x14ac:dyDescent="0.25">
      <c r="A5" s="2"/>
      <c r="B5" s="4"/>
    </row>
    <row r="6" spans="1:14" x14ac:dyDescent="0.25">
      <c r="A6" s="2" t="s">
        <v>13</v>
      </c>
      <c r="B6" s="4">
        <f>B2-B3</f>
        <v>110</v>
      </c>
    </row>
    <row r="7" spans="1:14" x14ac:dyDescent="0.25">
      <c r="A7" s="2" t="s">
        <v>14</v>
      </c>
      <c r="B7" s="5">
        <f>B6/B2</f>
        <v>0.73333333333333328</v>
      </c>
    </row>
    <row r="8" spans="1:14" ht="15.75" x14ac:dyDescent="0.25">
      <c r="A8" s="2"/>
      <c r="B8" s="4"/>
      <c r="I8" s="14"/>
      <c r="J8" s="27" t="s">
        <v>17</v>
      </c>
      <c r="K8" s="27"/>
      <c r="L8" s="27"/>
      <c r="M8" s="27"/>
      <c r="N8" s="13"/>
    </row>
    <row r="9" spans="1:14" ht="15" customHeight="1" x14ac:dyDescent="0.25">
      <c r="A9" s="2" t="s">
        <v>3</v>
      </c>
      <c r="B9" s="4">
        <f>B4/B6</f>
        <v>109.09090909090909</v>
      </c>
      <c r="D9" s="21" t="s">
        <v>18</v>
      </c>
      <c r="E9" s="22"/>
      <c r="F9" s="22"/>
      <c r="G9" s="22"/>
      <c r="H9" s="22"/>
      <c r="I9" s="22"/>
      <c r="J9" s="23"/>
      <c r="K9" s="23"/>
      <c r="L9" s="23"/>
      <c r="M9" s="23"/>
      <c r="N9" s="13"/>
    </row>
    <row r="10" spans="1:14" ht="15" customHeight="1" x14ac:dyDescent="0.25">
      <c r="A10" s="2" t="s">
        <v>4</v>
      </c>
      <c r="B10" s="4">
        <f>B9*B2</f>
        <v>16363.636363636364</v>
      </c>
      <c r="D10" s="24"/>
      <c r="E10" s="23"/>
      <c r="F10" s="23"/>
      <c r="G10" s="23"/>
      <c r="H10" s="23"/>
      <c r="I10" s="23"/>
      <c r="J10" s="23"/>
      <c r="K10" s="23"/>
      <c r="L10" s="23"/>
      <c r="M10" s="23"/>
      <c r="N10" s="13"/>
    </row>
    <row r="11" spans="1:14" ht="15" customHeight="1" x14ac:dyDescent="0.25">
      <c r="D11" s="25"/>
      <c r="E11" s="26"/>
      <c r="F11" s="26"/>
      <c r="G11" s="26"/>
      <c r="H11" s="26"/>
      <c r="I11" s="26"/>
      <c r="J11" s="26"/>
      <c r="K11" s="26"/>
      <c r="L11" s="26"/>
      <c r="M11" s="26"/>
      <c r="N11" s="13"/>
    </row>
  </sheetData>
  <mergeCells count="3">
    <mergeCell ref="C2:D4"/>
    <mergeCell ref="D9:M11"/>
    <mergeCell ref="J8:M8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8"/>
  <sheetViews>
    <sheetView rightToLeft="1" zoomScale="89" workbookViewId="0">
      <selection activeCell="B17" sqref="B17:B18"/>
    </sheetView>
  </sheetViews>
  <sheetFormatPr defaultRowHeight="15" x14ac:dyDescent="0.25"/>
  <cols>
    <col min="1" max="1" width="21.7109375" style="7" customWidth="1"/>
    <col min="2" max="2" width="18.7109375" style="7" customWidth="1"/>
    <col min="3" max="3" width="26.7109375" style="7" customWidth="1"/>
    <col min="4" max="4" width="25.7109375" style="7" customWidth="1"/>
    <col min="5" max="5" width="24.7109375" style="7" customWidth="1"/>
    <col min="6" max="6" width="22.7109375" style="7" customWidth="1"/>
    <col min="7" max="7" width="17.5703125" style="7" bestFit="1" customWidth="1"/>
    <col min="8" max="16384" width="9.140625" style="7"/>
  </cols>
  <sheetData>
    <row r="1" spans="1:7" x14ac:dyDescent="0.25">
      <c r="A1" s="6" t="s">
        <v>7</v>
      </c>
      <c r="B1" s="6" t="s">
        <v>8</v>
      </c>
      <c r="C1" s="6" t="s">
        <v>9</v>
      </c>
      <c r="D1" s="6" t="s">
        <v>10</v>
      </c>
      <c r="E1" s="6" t="s">
        <v>11</v>
      </c>
      <c r="F1" s="6" t="s">
        <v>12</v>
      </c>
    </row>
    <row r="2" spans="1:7" x14ac:dyDescent="0.25">
      <c r="A2" s="6">
        <v>0</v>
      </c>
      <c r="B2" s="6">
        <f>'بيانات الإدخال'!$B$2*A2</f>
        <v>0</v>
      </c>
      <c r="C2" s="6">
        <f>A2*'بيانات الإدخال'!$B$3</f>
        <v>0</v>
      </c>
      <c r="D2" s="8">
        <f>'بيانات الإدخال'!$B$4</f>
        <v>12000</v>
      </c>
      <c r="E2" s="6">
        <f t="shared" ref="E2:E12" si="0">C2+D2</f>
        <v>12000</v>
      </c>
      <c r="F2" s="9">
        <f t="shared" ref="F2:F12" si="1">B2-E2</f>
        <v>-12000</v>
      </c>
    </row>
    <row r="3" spans="1:7" x14ac:dyDescent="0.25">
      <c r="A3" s="6">
        <v>50</v>
      </c>
      <c r="B3" s="6">
        <f>'بيانات الإدخال'!$B$2*A3</f>
        <v>7500</v>
      </c>
      <c r="C3" s="6">
        <f>A3*'بيانات الإدخال'!$B$3</f>
        <v>2000</v>
      </c>
      <c r="D3" s="8">
        <f>'بيانات الإدخال'!$B$4</f>
        <v>12000</v>
      </c>
      <c r="E3" s="6">
        <f t="shared" si="0"/>
        <v>14000</v>
      </c>
      <c r="F3" s="9">
        <f t="shared" si="1"/>
        <v>-6500</v>
      </c>
    </row>
    <row r="4" spans="1:7" x14ac:dyDescent="0.25">
      <c r="A4" s="6">
        <v>100</v>
      </c>
      <c r="B4" s="6">
        <f>'بيانات الإدخال'!$B$2*A4</f>
        <v>15000</v>
      </c>
      <c r="C4" s="6">
        <f>A4*'بيانات الإدخال'!$B$3</f>
        <v>4000</v>
      </c>
      <c r="D4" s="8">
        <f>'بيانات الإدخال'!$B$4</f>
        <v>12000</v>
      </c>
      <c r="E4" s="6">
        <f t="shared" si="0"/>
        <v>16000</v>
      </c>
      <c r="F4" s="9">
        <f t="shared" si="1"/>
        <v>-1000</v>
      </c>
    </row>
    <row r="5" spans="1:7" x14ac:dyDescent="0.25">
      <c r="A5" s="6">
        <v>150</v>
      </c>
      <c r="B5" s="6">
        <f>'بيانات الإدخال'!$B$2*A5</f>
        <v>22500</v>
      </c>
      <c r="C5" s="6">
        <f>A5*'بيانات الإدخال'!$B$3</f>
        <v>6000</v>
      </c>
      <c r="D5" s="8">
        <f>'بيانات الإدخال'!$B$4</f>
        <v>12000</v>
      </c>
      <c r="E5" s="6">
        <f t="shared" si="0"/>
        <v>18000</v>
      </c>
      <c r="F5" s="9">
        <f t="shared" si="1"/>
        <v>4500</v>
      </c>
    </row>
    <row r="6" spans="1:7" x14ac:dyDescent="0.25">
      <c r="A6" s="6">
        <v>200</v>
      </c>
      <c r="B6" s="6">
        <f>'بيانات الإدخال'!$B$2*A6</f>
        <v>30000</v>
      </c>
      <c r="C6" s="6">
        <f>A6*'بيانات الإدخال'!$B$3</f>
        <v>8000</v>
      </c>
      <c r="D6" s="8">
        <f>'بيانات الإدخال'!$B$4</f>
        <v>12000</v>
      </c>
      <c r="E6" s="6">
        <f t="shared" si="0"/>
        <v>20000</v>
      </c>
      <c r="F6" s="9">
        <f t="shared" si="1"/>
        <v>10000</v>
      </c>
    </row>
    <row r="7" spans="1:7" x14ac:dyDescent="0.25">
      <c r="A7" s="6">
        <v>250</v>
      </c>
      <c r="B7" s="6">
        <f>'بيانات الإدخال'!$B$2*A7</f>
        <v>37500</v>
      </c>
      <c r="C7" s="6">
        <f>A7*'بيانات الإدخال'!$B$3</f>
        <v>10000</v>
      </c>
      <c r="D7" s="8">
        <f>'بيانات الإدخال'!$B$4</f>
        <v>12000</v>
      </c>
      <c r="E7" s="6">
        <f t="shared" si="0"/>
        <v>22000</v>
      </c>
      <c r="F7" s="9">
        <f t="shared" si="1"/>
        <v>15500</v>
      </c>
    </row>
    <row r="8" spans="1:7" x14ac:dyDescent="0.25">
      <c r="A8" s="6">
        <v>300</v>
      </c>
      <c r="B8" s="6">
        <f>'بيانات الإدخال'!$B$2*A8</f>
        <v>45000</v>
      </c>
      <c r="C8" s="6">
        <f>A8*'بيانات الإدخال'!$B$3</f>
        <v>12000</v>
      </c>
      <c r="D8" s="8">
        <f>'بيانات الإدخال'!$B$4</f>
        <v>12000</v>
      </c>
      <c r="E8" s="6">
        <f t="shared" si="0"/>
        <v>24000</v>
      </c>
      <c r="F8" s="9">
        <f t="shared" si="1"/>
        <v>21000</v>
      </c>
    </row>
    <row r="9" spans="1:7" x14ac:dyDescent="0.25">
      <c r="A9" s="6">
        <v>350</v>
      </c>
      <c r="B9" s="6">
        <f>'بيانات الإدخال'!$B$2*A9</f>
        <v>52500</v>
      </c>
      <c r="C9" s="6">
        <f>A9*'بيانات الإدخال'!$B$3</f>
        <v>14000</v>
      </c>
      <c r="D9" s="8">
        <f>'بيانات الإدخال'!$B$4</f>
        <v>12000</v>
      </c>
      <c r="E9" s="6">
        <f t="shared" si="0"/>
        <v>26000</v>
      </c>
      <c r="F9" s="9">
        <f t="shared" si="1"/>
        <v>26500</v>
      </c>
    </row>
    <row r="10" spans="1:7" x14ac:dyDescent="0.25">
      <c r="A10" s="6">
        <v>400</v>
      </c>
      <c r="B10" s="6">
        <f>'بيانات الإدخال'!$B$2*A10</f>
        <v>60000</v>
      </c>
      <c r="C10" s="6">
        <f>A10*'بيانات الإدخال'!$B$3</f>
        <v>16000</v>
      </c>
      <c r="D10" s="8">
        <f>'بيانات الإدخال'!$B$4</f>
        <v>12000</v>
      </c>
      <c r="E10" s="6">
        <f t="shared" si="0"/>
        <v>28000</v>
      </c>
      <c r="F10" s="9">
        <f t="shared" si="1"/>
        <v>32000</v>
      </c>
    </row>
    <row r="11" spans="1:7" x14ac:dyDescent="0.25">
      <c r="A11" s="6">
        <v>450</v>
      </c>
      <c r="B11" s="6">
        <f>'بيانات الإدخال'!$B$2*A11</f>
        <v>67500</v>
      </c>
      <c r="C11" s="6">
        <f>A11*'بيانات الإدخال'!$B$3</f>
        <v>18000</v>
      </c>
      <c r="D11" s="8">
        <f>'بيانات الإدخال'!$B$4</f>
        <v>12000</v>
      </c>
      <c r="E11" s="6">
        <f t="shared" si="0"/>
        <v>30000</v>
      </c>
      <c r="F11" s="9">
        <f t="shared" si="1"/>
        <v>37500</v>
      </c>
    </row>
    <row r="12" spans="1:7" x14ac:dyDescent="0.25">
      <c r="A12" s="6">
        <v>500</v>
      </c>
      <c r="B12" s="6">
        <f>'بيانات الإدخال'!$B$2*A12</f>
        <v>75000</v>
      </c>
      <c r="C12" s="6">
        <f>A12*'بيانات الإدخال'!$B$3</f>
        <v>20000</v>
      </c>
      <c r="D12" s="8">
        <f>'بيانات الإدخال'!$B$4</f>
        <v>12000</v>
      </c>
      <c r="E12" s="6">
        <f t="shared" si="0"/>
        <v>32000</v>
      </c>
      <c r="F12" s="9">
        <f t="shared" si="1"/>
        <v>43000</v>
      </c>
    </row>
    <row r="16" spans="1:7" ht="15.75" thickBot="1" x14ac:dyDescent="0.3">
      <c r="B16" s="10" t="s">
        <v>7</v>
      </c>
      <c r="C16" s="11" t="s">
        <v>8</v>
      </c>
      <c r="D16" s="11" t="s">
        <v>9</v>
      </c>
      <c r="E16" s="11" t="s">
        <v>10</v>
      </c>
      <c r="F16" s="11" t="s">
        <v>11</v>
      </c>
      <c r="G16" s="12" t="s">
        <v>12</v>
      </c>
    </row>
    <row r="17" spans="1:7" ht="15.75" thickTop="1" x14ac:dyDescent="0.25">
      <c r="A17" s="30" t="s">
        <v>15</v>
      </c>
      <c r="B17" s="31"/>
      <c r="C17" s="33">
        <f>'بيانات الإدخال'!$B$2*B17</f>
        <v>0</v>
      </c>
      <c r="D17" s="33">
        <f>B17*'بيانات الإدخال'!$B$3</f>
        <v>0</v>
      </c>
      <c r="E17" s="35">
        <f>'بيانات الإدخال'!$B$4</f>
        <v>12000</v>
      </c>
      <c r="F17" s="33">
        <f t="shared" ref="F17" si="2">D17+E17</f>
        <v>12000</v>
      </c>
      <c r="G17" s="28">
        <f t="shared" ref="G17" si="3">C17-F17</f>
        <v>-12000</v>
      </c>
    </row>
    <row r="18" spans="1:7" x14ac:dyDescent="0.25">
      <c r="A18" s="30"/>
      <c r="B18" s="32"/>
      <c r="C18" s="34"/>
      <c r="D18" s="34"/>
      <c r="E18" s="36"/>
      <c r="F18" s="34"/>
      <c r="G18" s="29"/>
    </row>
  </sheetData>
  <mergeCells count="7">
    <mergeCell ref="G17:G18"/>
    <mergeCell ref="A17:A18"/>
    <mergeCell ref="B17:B18"/>
    <mergeCell ref="C17:C18"/>
    <mergeCell ref="D17:D18"/>
    <mergeCell ref="E17:E18"/>
    <mergeCell ref="F17:F18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بيانات الإدخال</vt:lpstr>
      <vt:lpstr>تحليل العائد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Ahmed Mohamed Mohalhal Ahmed</cp:lastModifiedBy>
  <dcterms:created xsi:type="dcterms:W3CDTF">2025-12-08T14:39:12Z</dcterms:created>
  <dcterms:modified xsi:type="dcterms:W3CDTF">2026-02-05T21:50:33Z</dcterms:modified>
</cp:coreProperties>
</file>