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 defaultThemeVersion="202300"/>
  <mc:AlternateContent xmlns:mc="http://schemas.openxmlformats.org/markup-compatibility/2006">
    <mc:Choice Requires="x15">
      <x15ac:absPath xmlns:x15ac="http://schemas.microsoft.com/office/spreadsheetml/2010/11/ac" url="C:\Users\htc\Downloads\"/>
    </mc:Choice>
  </mc:AlternateContent>
  <xr:revisionPtr revIDLastSave="0" documentId="8_{57D2F86C-C996-ED46-BBD7-9CFCC3CEB81C}" xr6:coauthVersionLast="47" xr6:coauthVersionMax="47" xr10:uidLastSave="{00000000-0000-0000-0000-000000000000}"/>
  <bookViews>
    <workbookView xWindow="-120" yWindow="-120" windowWidth="20730" windowHeight="11040" tabRatio="695" activeTab="2" xr2:uid="{00000000-000D-0000-FFFF-FFFF00000000}"/>
  </bookViews>
  <sheets>
    <sheet name="السؤال" sheetId="2" r:id="rId1"/>
    <sheet name="قيود" sheetId="1" r:id="rId2"/>
    <sheet name="ميزان المراجعه" sheetId="3" r:id="rId3"/>
    <sheet name="الايضاحات المتممة" sheetId="4" r:id="rId4"/>
    <sheet name="قائمة الدخل" sheetId="5" r:id="rId5"/>
    <sheet name="قائمة المركز المالي" sheetId="6" r:id="rId6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3" l="1"/>
  <c r="F10" i="3"/>
  <c r="F5" i="3"/>
  <c r="C27" i="3"/>
  <c r="E26" i="1"/>
  <c r="F26" i="1"/>
  <c r="E27" i="1"/>
  <c r="F27" i="1"/>
  <c r="E28" i="1"/>
  <c r="F28" i="1"/>
  <c r="E29" i="1"/>
  <c r="F29" i="1"/>
  <c r="E30" i="1"/>
  <c r="F30" i="1"/>
  <c r="E31" i="1"/>
  <c r="F31" i="1"/>
  <c r="E32" i="1"/>
  <c r="F32" i="1"/>
  <c r="E33" i="1"/>
  <c r="F33" i="1"/>
  <c r="E34" i="1"/>
  <c r="F34" i="1"/>
  <c r="F25" i="1"/>
  <c r="E25" i="1"/>
  <c r="E15" i="1"/>
  <c r="F15" i="1"/>
  <c r="E16" i="1"/>
  <c r="F16" i="1"/>
  <c r="E17" i="1"/>
  <c r="F17" i="1"/>
  <c r="E18" i="1"/>
  <c r="F18" i="1"/>
  <c r="E19" i="1"/>
  <c r="F19" i="1"/>
  <c r="E20" i="1"/>
  <c r="F20" i="1"/>
  <c r="E21" i="1"/>
  <c r="F21" i="1"/>
  <c r="E22" i="1"/>
  <c r="F22" i="1"/>
  <c r="E23" i="1"/>
  <c r="F23" i="1"/>
  <c r="F14" i="1"/>
  <c r="E14" i="1"/>
  <c r="B11" i="6"/>
  <c r="B10" i="6"/>
  <c r="B8" i="6"/>
  <c r="B7" i="6"/>
  <c r="B2" i="6"/>
  <c r="E7" i="6"/>
  <c r="E5" i="6"/>
  <c r="E4" i="6"/>
  <c r="B57" i="4"/>
  <c r="B25" i="4"/>
  <c r="B8" i="4"/>
  <c r="B27" i="3"/>
  <c r="C12" i="3"/>
  <c r="C13" i="3"/>
  <c r="C14" i="3"/>
  <c r="C11" i="3"/>
  <c r="B10" i="3"/>
  <c r="B9" i="3"/>
  <c r="B8" i="3"/>
  <c r="B7" i="3"/>
  <c r="B6" i="3"/>
  <c r="B5" i="3"/>
  <c r="G35" i="1"/>
  <c r="H35" i="1"/>
  <c r="I35" i="1"/>
  <c r="J35" i="1"/>
  <c r="K35" i="1"/>
  <c r="L35" i="1"/>
  <c r="M35" i="1"/>
  <c r="N35" i="1"/>
  <c r="O35" i="1"/>
  <c r="P35" i="1"/>
  <c r="Q35" i="1"/>
  <c r="R35" i="1"/>
  <c r="S35" i="1"/>
  <c r="T35" i="1"/>
  <c r="U35" i="1"/>
  <c r="V35" i="1"/>
  <c r="W35" i="1"/>
  <c r="X35" i="1"/>
  <c r="Y35" i="1"/>
  <c r="Z35" i="1"/>
  <c r="AA35" i="1"/>
  <c r="AB35" i="1"/>
  <c r="AC35" i="1"/>
  <c r="AD35" i="1"/>
  <c r="AE35" i="1"/>
  <c r="AF35" i="1"/>
  <c r="AG35" i="1"/>
  <c r="AH35" i="1"/>
  <c r="AI35" i="1"/>
  <c r="AJ35" i="1"/>
  <c r="AK35" i="1"/>
  <c r="AL35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AJ24" i="1"/>
  <c r="AK24" i="1"/>
  <c r="AL24" i="1"/>
  <c r="E3" i="1"/>
  <c r="E13" i="1"/>
  <c r="F3" i="1"/>
  <c r="F13" i="1"/>
  <c r="AL13" i="1"/>
  <c r="AL46" i="1"/>
  <c r="AL57" i="1"/>
  <c r="AL68" i="1"/>
  <c r="AL79" i="1"/>
  <c r="AL90" i="1"/>
  <c r="AL101" i="1"/>
  <c r="AL112" i="1"/>
  <c r="AL123" i="1"/>
  <c r="AL134" i="1"/>
  <c r="AK13" i="1"/>
  <c r="AK46" i="1"/>
  <c r="AK57" i="1"/>
  <c r="AK68" i="1"/>
  <c r="AK79" i="1"/>
  <c r="AK90" i="1"/>
  <c r="AK101" i="1"/>
  <c r="AK112" i="1"/>
  <c r="AK123" i="1"/>
  <c r="AK134" i="1"/>
  <c r="AJ13" i="1"/>
  <c r="AJ46" i="1"/>
  <c r="AJ57" i="1"/>
  <c r="AJ68" i="1"/>
  <c r="AJ79" i="1"/>
  <c r="AJ90" i="1"/>
  <c r="AJ101" i="1"/>
  <c r="AJ112" i="1"/>
  <c r="AJ123" i="1"/>
  <c r="AJ134" i="1"/>
  <c r="AI13" i="1"/>
  <c r="AI46" i="1"/>
  <c r="AI57" i="1"/>
  <c r="AI68" i="1"/>
  <c r="AI79" i="1"/>
  <c r="AI90" i="1"/>
  <c r="AI101" i="1"/>
  <c r="AI112" i="1"/>
  <c r="AI123" i="1"/>
  <c r="AI134" i="1"/>
  <c r="AH13" i="1"/>
  <c r="AH46" i="1"/>
  <c r="AH57" i="1"/>
  <c r="AH68" i="1"/>
  <c r="AH79" i="1"/>
  <c r="AH90" i="1"/>
  <c r="AH101" i="1"/>
  <c r="AH112" i="1"/>
  <c r="AH123" i="1"/>
  <c r="AH134" i="1"/>
  <c r="AG13" i="1"/>
  <c r="AG46" i="1"/>
  <c r="AG57" i="1"/>
  <c r="AG68" i="1"/>
  <c r="AG79" i="1"/>
  <c r="AG90" i="1"/>
  <c r="AG101" i="1"/>
  <c r="AG112" i="1"/>
  <c r="AG123" i="1"/>
  <c r="AG134" i="1"/>
  <c r="AF13" i="1"/>
  <c r="AF46" i="1"/>
  <c r="AF57" i="1"/>
  <c r="AF68" i="1"/>
  <c r="AF79" i="1"/>
  <c r="AF90" i="1"/>
  <c r="AF101" i="1"/>
  <c r="AF112" i="1"/>
  <c r="AF123" i="1"/>
  <c r="AF134" i="1"/>
  <c r="AE13" i="1"/>
  <c r="AE46" i="1"/>
  <c r="AE57" i="1"/>
  <c r="AE68" i="1"/>
  <c r="AE79" i="1"/>
  <c r="AE90" i="1"/>
  <c r="AE101" i="1"/>
  <c r="AE112" i="1"/>
  <c r="AE123" i="1"/>
  <c r="AE134" i="1"/>
  <c r="AD13" i="1"/>
  <c r="AD46" i="1"/>
  <c r="AD57" i="1"/>
  <c r="AD68" i="1"/>
  <c r="AD79" i="1"/>
  <c r="AD90" i="1"/>
  <c r="AD101" i="1"/>
  <c r="AD112" i="1"/>
  <c r="AD123" i="1"/>
  <c r="AD134" i="1"/>
  <c r="AC13" i="1"/>
  <c r="AC46" i="1"/>
  <c r="AC57" i="1"/>
  <c r="AC68" i="1"/>
  <c r="AC79" i="1"/>
  <c r="AC90" i="1"/>
  <c r="AC101" i="1"/>
  <c r="AC112" i="1"/>
  <c r="AC123" i="1"/>
  <c r="AC134" i="1"/>
  <c r="AB13" i="1"/>
  <c r="AB46" i="1"/>
  <c r="AB57" i="1"/>
  <c r="AB68" i="1"/>
  <c r="AB79" i="1"/>
  <c r="AB90" i="1"/>
  <c r="AB101" i="1"/>
  <c r="AB112" i="1"/>
  <c r="AB123" i="1"/>
  <c r="AB134" i="1"/>
  <c r="AA13" i="1"/>
  <c r="AA46" i="1"/>
  <c r="AA57" i="1"/>
  <c r="AA68" i="1"/>
  <c r="AA79" i="1"/>
  <c r="AA90" i="1"/>
  <c r="AA101" i="1"/>
  <c r="AA112" i="1"/>
  <c r="AA123" i="1"/>
  <c r="AA134" i="1"/>
  <c r="Z13" i="1"/>
  <c r="Z46" i="1"/>
  <c r="Z57" i="1"/>
  <c r="Z68" i="1"/>
  <c r="Z79" i="1"/>
  <c r="Z90" i="1"/>
  <c r="Z101" i="1"/>
  <c r="Z112" i="1"/>
  <c r="Z123" i="1"/>
  <c r="Z134" i="1"/>
  <c r="Y13" i="1"/>
  <c r="Y46" i="1"/>
  <c r="Y57" i="1"/>
  <c r="Y68" i="1"/>
  <c r="Y79" i="1"/>
  <c r="Y90" i="1"/>
  <c r="Y101" i="1"/>
  <c r="Y112" i="1"/>
  <c r="Y123" i="1"/>
  <c r="Y134" i="1"/>
  <c r="X13" i="1"/>
  <c r="X46" i="1"/>
  <c r="X57" i="1"/>
  <c r="X68" i="1"/>
  <c r="X79" i="1"/>
  <c r="X90" i="1"/>
  <c r="X101" i="1"/>
  <c r="X112" i="1"/>
  <c r="X123" i="1"/>
  <c r="X134" i="1"/>
  <c r="W13" i="1"/>
  <c r="W46" i="1"/>
  <c r="W57" i="1"/>
  <c r="W68" i="1"/>
  <c r="W79" i="1"/>
  <c r="W90" i="1"/>
  <c r="W101" i="1"/>
  <c r="W112" i="1"/>
  <c r="W123" i="1"/>
  <c r="W134" i="1"/>
  <c r="V13" i="1"/>
  <c r="V46" i="1"/>
  <c r="V57" i="1"/>
  <c r="V68" i="1"/>
  <c r="V79" i="1"/>
  <c r="V90" i="1"/>
  <c r="V101" i="1"/>
  <c r="V112" i="1"/>
  <c r="V123" i="1"/>
  <c r="V134" i="1"/>
  <c r="T13" i="1"/>
  <c r="T46" i="1"/>
  <c r="T57" i="1"/>
  <c r="T68" i="1"/>
  <c r="T79" i="1"/>
  <c r="T90" i="1"/>
  <c r="T101" i="1"/>
  <c r="T112" i="1"/>
  <c r="T123" i="1"/>
  <c r="T134" i="1"/>
  <c r="U13" i="1"/>
  <c r="U46" i="1"/>
  <c r="U57" i="1"/>
  <c r="U68" i="1"/>
  <c r="U79" i="1"/>
  <c r="U90" i="1"/>
  <c r="U101" i="1"/>
  <c r="U112" i="1"/>
  <c r="U123" i="1"/>
  <c r="U134" i="1"/>
  <c r="S13" i="1"/>
  <c r="S46" i="1"/>
  <c r="S57" i="1"/>
  <c r="S68" i="1"/>
  <c r="S79" i="1"/>
  <c r="S90" i="1"/>
  <c r="S101" i="1"/>
  <c r="S112" i="1"/>
  <c r="S123" i="1"/>
  <c r="S134" i="1"/>
  <c r="R13" i="1"/>
  <c r="R46" i="1"/>
  <c r="R57" i="1"/>
  <c r="R68" i="1"/>
  <c r="R79" i="1"/>
  <c r="R90" i="1"/>
  <c r="R101" i="1"/>
  <c r="R112" i="1"/>
  <c r="R123" i="1"/>
  <c r="R134" i="1"/>
  <c r="Q13" i="1"/>
  <c r="Q46" i="1"/>
  <c r="Q57" i="1"/>
  <c r="Q68" i="1"/>
  <c r="Q79" i="1"/>
  <c r="Q90" i="1"/>
  <c r="Q101" i="1"/>
  <c r="Q112" i="1"/>
  <c r="Q123" i="1"/>
  <c r="Q134" i="1"/>
  <c r="P13" i="1"/>
  <c r="P46" i="1"/>
  <c r="P57" i="1"/>
  <c r="P68" i="1"/>
  <c r="P79" i="1"/>
  <c r="P90" i="1"/>
  <c r="P101" i="1"/>
  <c r="P112" i="1"/>
  <c r="P123" i="1"/>
  <c r="P134" i="1"/>
  <c r="O13" i="1"/>
  <c r="O46" i="1"/>
  <c r="O57" i="1"/>
  <c r="O68" i="1"/>
  <c r="O79" i="1"/>
  <c r="O90" i="1"/>
  <c r="O101" i="1"/>
  <c r="O112" i="1"/>
  <c r="O123" i="1"/>
  <c r="O134" i="1"/>
  <c r="N13" i="1"/>
  <c r="N46" i="1"/>
  <c r="N57" i="1"/>
  <c r="N68" i="1"/>
  <c r="N79" i="1"/>
  <c r="N90" i="1"/>
  <c r="N101" i="1"/>
  <c r="N112" i="1"/>
  <c r="N123" i="1"/>
  <c r="N134" i="1"/>
  <c r="M13" i="1"/>
  <c r="M46" i="1"/>
  <c r="M57" i="1"/>
  <c r="M68" i="1"/>
  <c r="M79" i="1"/>
  <c r="M90" i="1"/>
  <c r="M101" i="1"/>
  <c r="M112" i="1"/>
  <c r="M123" i="1"/>
  <c r="M134" i="1"/>
  <c r="L13" i="1"/>
  <c r="L46" i="1"/>
  <c r="L57" i="1"/>
  <c r="L68" i="1"/>
  <c r="L79" i="1"/>
  <c r="L90" i="1"/>
  <c r="L101" i="1"/>
  <c r="L112" i="1"/>
  <c r="L123" i="1"/>
  <c r="L134" i="1"/>
  <c r="K13" i="1"/>
  <c r="K46" i="1"/>
  <c r="K57" i="1"/>
  <c r="K68" i="1"/>
  <c r="K79" i="1"/>
  <c r="K90" i="1"/>
  <c r="K101" i="1"/>
  <c r="K112" i="1"/>
  <c r="K123" i="1"/>
  <c r="K134" i="1"/>
  <c r="J13" i="1"/>
  <c r="J46" i="1"/>
  <c r="J57" i="1"/>
  <c r="J68" i="1"/>
  <c r="J79" i="1"/>
  <c r="J90" i="1"/>
  <c r="J101" i="1"/>
  <c r="J112" i="1"/>
  <c r="J123" i="1"/>
  <c r="J134" i="1"/>
  <c r="I13" i="1"/>
  <c r="I46" i="1"/>
  <c r="I57" i="1"/>
  <c r="I68" i="1"/>
  <c r="I79" i="1"/>
  <c r="I90" i="1"/>
  <c r="I101" i="1"/>
  <c r="I112" i="1"/>
  <c r="I123" i="1"/>
  <c r="I134" i="1"/>
  <c r="H13" i="1"/>
  <c r="H46" i="1"/>
  <c r="H57" i="1"/>
  <c r="H68" i="1"/>
  <c r="H79" i="1"/>
  <c r="H90" i="1"/>
  <c r="H101" i="1"/>
  <c r="H112" i="1"/>
  <c r="H123" i="1"/>
  <c r="H134" i="1"/>
  <c r="G13" i="1"/>
  <c r="G46" i="1"/>
  <c r="G57" i="1"/>
  <c r="G68" i="1"/>
  <c r="G79" i="1"/>
  <c r="G90" i="1"/>
  <c r="G101" i="1"/>
  <c r="G112" i="1"/>
  <c r="G123" i="1"/>
  <c r="G134" i="1"/>
  <c r="F46" i="1"/>
  <c r="F57" i="1"/>
  <c r="F68" i="1"/>
  <c r="F79" i="1"/>
  <c r="F90" i="1"/>
  <c r="F101" i="1"/>
  <c r="F112" i="1"/>
  <c r="F123" i="1"/>
  <c r="F134" i="1"/>
  <c r="E46" i="1"/>
  <c r="E57" i="1"/>
  <c r="E68" i="1"/>
  <c r="E79" i="1"/>
  <c r="E90" i="1"/>
  <c r="E101" i="1"/>
  <c r="E112" i="1"/>
  <c r="E123" i="1"/>
  <c r="E134" i="1"/>
  <c r="A125" i="1"/>
  <c r="A126" i="1"/>
  <c r="A127" i="1"/>
  <c r="A128" i="1"/>
  <c r="A129" i="1"/>
  <c r="A130" i="1"/>
  <c r="A131" i="1"/>
  <c r="A132" i="1"/>
  <c r="A133" i="1"/>
  <c r="A114" i="1"/>
  <c r="A115" i="1"/>
  <c r="A116" i="1"/>
  <c r="A117" i="1"/>
  <c r="A118" i="1"/>
  <c r="A119" i="1"/>
  <c r="A120" i="1"/>
  <c r="A121" i="1"/>
  <c r="A122" i="1"/>
  <c r="A103" i="1"/>
  <c r="A104" i="1"/>
  <c r="A105" i="1"/>
  <c r="A106" i="1"/>
  <c r="A107" i="1"/>
  <c r="A108" i="1"/>
  <c r="A109" i="1"/>
  <c r="A110" i="1"/>
  <c r="A111" i="1"/>
  <c r="A92" i="1"/>
  <c r="A93" i="1"/>
  <c r="A94" i="1"/>
  <c r="A95" i="1"/>
  <c r="A96" i="1"/>
  <c r="A97" i="1"/>
  <c r="A98" i="1"/>
  <c r="A99" i="1"/>
  <c r="A100" i="1"/>
  <c r="A81" i="1"/>
  <c r="A82" i="1"/>
  <c r="A83" i="1"/>
  <c r="A84" i="1"/>
  <c r="A85" i="1"/>
  <c r="A86" i="1"/>
  <c r="A87" i="1"/>
  <c r="A88" i="1"/>
  <c r="A89" i="1"/>
  <c r="A70" i="1"/>
  <c r="A71" i="1"/>
  <c r="A72" i="1"/>
  <c r="A73" i="1"/>
  <c r="A74" i="1"/>
  <c r="A75" i="1"/>
  <c r="A76" i="1"/>
  <c r="A77" i="1"/>
  <c r="A78" i="1"/>
  <c r="A59" i="1"/>
  <c r="A60" i="1"/>
  <c r="A61" i="1"/>
  <c r="A62" i="1"/>
  <c r="A63" i="1"/>
  <c r="A64" i="1"/>
  <c r="A65" i="1"/>
  <c r="A66" i="1"/>
  <c r="A67" i="1"/>
  <c r="A48" i="1"/>
  <c r="A49" i="1"/>
  <c r="A50" i="1"/>
  <c r="A51" i="1"/>
  <c r="A52" i="1"/>
  <c r="A53" i="1"/>
  <c r="A54" i="1"/>
  <c r="A55" i="1"/>
  <c r="A56" i="1"/>
  <c r="A37" i="1"/>
  <c r="A38" i="1"/>
  <c r="A39" i="1"/>
  <c r="A40" i="1"/>
  <c r="A41" i="1"/>
  <c r="A42" i="1"/>
  <c r="A43" i="1"/>
  <c r="A44" i="1"/>
  <c r="A45" i="1"/>
  <c r="A26" i="1"/>
  <c r="A27" i="1"/>
  <c r="A28" i="1"/>
  <c r="A29" i="1"/>
  <c r="A30" i="1"/>
  <c r="A31" i="1"/>
  <c r="A32" i="1"/>
  <c r="A33" i="1"/>
  <c r="A34" i="1"/>
  <c r="A15" i="1"/>
  <c r="A16" i="1"/>
  <c r="A17" i="1"/>
  <c r="A18" i="1"/>
  <c r="A19" i="1"/>
  <c r="A20" i="1"/>
  <c r="A21" i="1"/>
  <c r="A22" i="1"/>
  <c r="A23" i="1"/>
  <c r="A4" i="1"/>
  <c r="A5" i="1"/>
  <c r="A6" i="1"/>
  <c r="A7" i="1"/>
  <c r="A8" i="1"/>
  <c r="A9" i="1"/>
  <c r="A10" i="1"/>
  <c r="A11" i="1"/>
  <c r="A12" i="1"/>
  <c r="R137" i="1"/>
  <c r="H137" i="1"/>
  <c r="E6" i="3"/>
  <c r="AG137" i="1"/>
  <c r="Y137" i="1"/>
  <c r="D9" i="3"/>
  <c r="Q137" i="1"/>
  <c r="AA137" i="1"/>
  <c r="AI137" i="1"/>
  <c r="S137" i="1"/>
  <c r="K137" i="1"/>
  <c r="D15" i="3"/>
  <c r="E24" i="1"/>
  <c r="AE137" i="1"/>
  <c r="W137" i="1"/>
  <c r="D12" i="3"/>
  <c r="O137" i="1"/>
  <c r="G137" i="1"/>
  <c r="D6" i="3"/>
  <c r="F35" i="1"/>
  <c r="F24" i="1"/>
  <c r="AD137" i="1"/>
  <c r="E22" i="3"/>
  <c r="AL137" i="1"/>
  <c r="AJ137" i="1"/>
  <c r="AB137" i="1"/>
  <c r="AK137" i="1"/>
  <c r="U137" i="1"/>
  <c r="V137" i="1"/>
  <c r="N137" i="1"/>
  <c r="AC137" i="1"/>
  <c r="D22" i="3"/>
  <c r="F22" i="3"/>
  <c r="I137" i="1"/>
  <c r="D7" i="3"/>
  <c r="F7" i="3"/>
  <c r="B17" i="4"/>
  <c r="M137" i="1"/>
  <c r="T137" i="1"/>
  <c r="L137" i="1"/>
  <c r="E15" i="3"/>
  <c r="AH137" i="1"/>
  <c r="Z137" i="1"/>
  <c r="E9" i="3"/>
  <c r="J137" i="1"/>
  <c r="E7" i="3"/>
  <c r="AF137" i="1"/>
  <c r="X137" i="1"/>
  <c r="E12" i="3"/>
  <c r="P137" i="1"/>
  <c r="D27" i="3"/>
  <c r="F6" i="3"/>
  <c r="C2" i="5"/>
  <c r="C4" i="5"/>
  <c r="C6" i="5"/>
  <c r="E8" i="6"/>
  <c r="E9" i="6"/>
  <c r="E17" i="3"/>
  <c r="F9" i="3"/>
  <c r="B6" i="6"/>
  <c r="G12" i="3"/>
  <c r="B9" i="6"/>
  <c r="B49" i="4"/>
  <c r="B50" i="4"/>
  <c r="E27" i="3"/>
  <c r="B5" i="6"/>
  <c r="B4" i="6"/>
  <c r="E35" i="1"/>
  <c r="E137" i="1"/>
  <c r="E3" i="6"/>
  <c r="E6" i="6"/>
  <c r="E10" i="6"/>
  <c r="G27" i="3"/>
  <c r="F27" i="3"/>
  <c r="B16" i="4"/>
  <c r="B18" i="4"/>
  <c r="B3" i="6"/>
  <c r="B12" i="6"/>
  <c r="F137" i="1"/>
</calcChain>
</file>

<file path=xl/sharedStrings.xml><?xml version="1.0" encoding="utf-8"?>
<sst xmlns="http://schemas.openxmlformats.org/spreadsheetml/2006/main" count="246" uniqueCount="142">
  <si>
    <t>التسلسل</t>
  </si>
  <si>
    <t>التاريخ</t>
  </si>
  <si>
    <t>البيان</t>
  </si>
  <si>
    <t>الاجمالي</t>
  </si>
  <si>
    <t>مدين</t>
  </si>
  <si>
    <t>دائن</t>
  </si>
  <si>
    <t>اجمالي شهر يناير</t>
  </si>
  <si>
    <t>اجمالي شهر فبراير</t>
  </si>
  <si>
    <t>اجمالي شهر مارس</t>
  </si>
  <si>
    <t>اجمالي شهر ابريل</t>
  </si>
  <si>
    <t>اجمالي شهر مايو</t>
  </si>
  <si>
    <t>اجمالي شهر يوليو</t>
  </si>
  <si>
    <t>الصندوق</t>
  </si>
  <si>
    <t>البنك</t>
  </si>
  <si>
    <t>المخرون</t>
  </si>
  <si>
    <t>ضريبة القيمة المضافة</t>
  </si>
  <si>
    <t>ضريبة ارباح تجارية</t>
  </si>
  <si>
    <t>تكلفة البضاعة المباعة</t>
  </si>
  <si>
    <t>المبيعات</t>
  </si>
  <si>
    <t>خصم مسموح به</t>
  </si>
  <si>
    <t>الموردين</t>
  </si>
  <si>
    <t xml:space="preserve">مدين </t>
  </si>
  <si>
    <t>العملاء</t>
  </si>
  <si>
    <t>خصم مكتسب</t>
  </si>
  <si>
    <t>عهدة</t>
  </si>
  <si>
    <t>ميزانية عمومية</t>
  </si>
  <si>
    <t>الدائنون</t>
  </si>
  <si>
    <t>مصروف اهلاك</t>
  </si>
  <si>
    <t>مجمع اهلاك</t>
  </si>
  <si>
    <t>اجمالي شهر يونيو</t>
  </si>
  <si>
    <t>اجمالي شهر اغسطس</t>
  </si>
  <si>
    <t>اجمالي شهر اكتوبر</t>
  </si>
  <si>
    <t>اجمالي شهر نوفمبر</t>
  </si>
  <si>
    <t>اجمالي شهر ديسمبر</t>
  </si>
  <si>
    <t>اجمالي شهر سبتمبر</t>
  </si>
  <si>
    <t>اجمالي السنة</t>
  </si>
  <si>
    <t>القيد</t>
  </si>
  <si>
    <t xml:space="preserve">السؤال ميزان المراجعة </t>
  </si>
  <si>
    <t>الموجودات</t>
  </si>
  <si>
    <t>الاصول الثابته</t>
  </si>
  <si>
    <t>اوراق القبض</t>
  </si>
  <si>
    <t>تأمينات لدى الغير</t>
  </si>
  <si>
    <t>رأس المال</t>
  </si>
  <si>
    <t>اوراق الدفع</t>
  </si>
  <si>
    <t>تامينات للغير</t>
  </si>
  <si>
    <t>مباني</t>
  </si>
  <si>
    <t>سيارات</t>
  </si>
  <si>
    <t>الالات</t>
  </si>
  <si>
    <t>اثاث</t>
  </si>
  <si>
    <t>المعطى</t>
  </si>
  <si>
    <t>شركة السلام هي شركة للبيع التجزئة، بدأت اعمالها في بداية سنة٢٠٢٥</t>
  </si>
  <si>
    <t>وفي اليوم التالي ٢/٢/٢٠٢٥قامت ايضا بشراء بضاعة بقيمة ٩٣٤٨٠ ريال</t>
  </si>
  <si>
    <t>وفي الشهر الثاني من شهر مارس قامت الشركة بعملية استعاضة عهدة٣٠٠٠٠ ريال</t>
  </si>
  <si>
    <t xml:space="preserve">وفي اليوم الثاني٢/٣/٢٠٢٥ قامت شركة السلام بتسوية عهدة١١٠٠ ولليوم الذي يليه بقيمة١٥٠٠ ريال </t>
  </si>
  <si>
    <t>اما في اليوم الرابع٤/٣/٢٠٢٥ قامت الشركة باستعاضة عهدة بقيمة٣٠٠٠٠ريال</t>
  </si>
  <si>
    <t>وفي اليوم الاخير قامت شركة السلام ب اهلاك المدة بقيمة٣٠٠٠٠ريال</t>
  </si>
  <si>
    <t>المطلوب</t>
  </si>
  <si>
    <t>ادخال العمليات المالية لشركة السلام باستخدام النظام المحاسبي بالاكسل</t>
  </si>
  <si>
    <t>وفي اليوم السابع والاخير من شهر فبراير سنة٢٠٢٥ قامت الشركة بتسديد عمليتها٧٩٧٠٠ ريال</t>
  </si>
  <si>
    <t>وفي اليوم السادس٦/٢/٢٠٢٥قامت الشركة بسداد المورد قيمة٤١٠٠٠ ريال</t>
  </si>
  <si>
    <t>وفي اليوم الخامس ٥/٢/٢٠٢٥قامت الشركة بعملية بيع بضاعة بقيمة١٠٠٠٣٠ ريال</t>
  </si>
  <si>
    <t>وفي اليوم الرابع٤/٢/٢٠٢٥ قامت الشركة بعملية بيع بضاعة بقيمة٤٩٣٠٥ ريال</t>
  </si>
  <si>
    <t>اما في اليوم الثالث ٣/٢/٢٠٢٥ قامت الشركة بعملية بيع بضاعة بقيمة ١٩٤٢٠٠ ريال</t>
  </si>
  <si>
    <t>قامت الشركة في بداية السنة ١/٢/٢٠٢٥ بعملية شراء بضاعة بقيمة٧٠١١٠ ريال</t>
  </si>
  <si>
    <t>عملية شراء بضاعة</t>
  </si>
  <si>
    <t>عملية بيع بضاعة</t>
  </si>
  <si>
    <t>استعاضة عهدة</t>
  </si>
  <si>
    <t>ميزان مراجعة الشركة</t>
  </si>
  <si>
    <t>الارصدةالافتتاحية</t>
  </si>
  <si>
    <t>الحركة</t>
  </si>
  <si>
    <t>الرصيد</t>
  </si>
  <si>
    <t xml:space="preserve">دائن </t>
  </si>
  <si>
    <t xml:space="preserve">الأصول الثابتة </t>
  </si>
  <si>
    <t>تامينات لدى الغير</t>
  </si>
  <si>
    <t>راس المال</t>
  </si>
  <si>
    <t>موردين</t>
  </si>
  <si>
    <t>اوراق دفع</t>
  </si>
  <si>
    <t>المخزون</t>
  </si>
  <si>
    <t>تكلفة المبيعات</t>
  </si>
  <si>
    <t>خصم مكتسب به</t>
  </si>
  <si>
    <t xml:space="preserve">ضريبة أرباح تجارية مدينة </t>
  </si>
  <si>
    <t>ضريبة ارباح تجارية دائنة</t>
  </si>
  <si>
    <t>العهد</t>
  </si>
  <si>
    <t>الميزانية العمومية</t>
  </si>
  <si>
    <t>تسوية عهدة</t>
  </si>
  <si>
    <t>الايضاحات المتممة للشركة</t>
  </si>
  <si>
    <t>الممتلكات والالات والمعدات</t>
  </si>
  <si>
    <t>اجمالي</t>
  </si>
  <si>
    <t>مشروعات تحت التنفيذ</t>
  </si>
  <si>
    <t>تكوين سلعي</t>
  </si>
  <si>
    <t>انفاق استثمارية</t>
  </si>
  <si>
    <t>نقدية بالبنك والصندوق</t>
  </si>
  <si>
    <t>البيام</t>
  </si>
  <si>
    <t>النقد بالصندوق</t>
  </si>
  <si>
    <t>النقد بالبنك</t>
  </si>
  <si>
    <t>الاحمالي</t>
  </si>
  <si>
    <t>صافي الايرادات</t>
  </si>
  <si>
    <t>الايرادات</t>
  </si>
  <si>
    <t>يخصم</t>
  </si>
  <si>
    <t>مردودات مبيعات</t>
  </si>
  <si>
    <t>الخصم المسموح به</t>
  </si>
  <si>
    <t>رس</t>
  </si>
  <si>
    <t>اهلاك عهدة</t>
  </si>
  <si>
    <t>سداد عميل</t>
  </si>
  <si>
    <t>عملية تسديد للمورد</t>
  </si>
  <si>
    <t>اصول اخرى غير ملموسة</t>
  </si>
  <si>
    <t>شهرة</t>
  </si>
  <si>
    <t>حق امتياز</t>
  </si>
  <si>
    <t xml:space="preserve">بنوك دائنة </t>
  </si>
  <si>
    <t>سحب على االمكشوف</t>
  </si>
  <si>
    <t xml:space="preserve">تسهيلات ائتمانية </t>
  </si>
  <si>
    <t>تكلفة المبيعات جرد مستمر</t>
  </si>
  <si>
    <t xml:space="preserve">مدينون وارصدة مدينة اخرى </t>
  </si>
  <si>
    <t>مصروف مقدم</t>
  </si>
  <si>
    <t>ايرادات مستحقة</t>
  </si>
  <si>
    <t xml:space="preserve">ضريبة القيمة المضافة </t>
  </si>
  <si>
    <t>ضريبة ارباح تجارية مدينة</t>
  </si>
  <si>
    <t>عهد وسلف</t>
  </si>
  <si>
    <t>دائنون وارصدة دائنة اخرى</t>
  </si>
  <si>
    <t>تامينات الغير</t>
  </si>
  <si>
    <t>مصروفات مستحقة</t>
  </si>
  <si>
    <t>ايرادات مقدمة</t>
  </si>
  <si>
    <t xml:space="preserve">ضريبة ارباح تجارية دائنة </t>
  </si>
  <si>
    <t>تكلفة مبيعات جرد دوري</t>
  </si>
  <si>
    <t>مخزون اول المدة</t>
  </si>
  <si>
    <t>يضاف مشتريات</t>
  </si>
  <si>
    <t>يخصم خصم مكتسب</t>
  </si>
  <si>
    <t>يخصم مردودات مشتريات</t>
  </si>
  <si>
    <t>يخصم مخرون اخر المدة</t>
  </si>
  <si>
    <t>البند</t>
  </si>
  <si>
    <t>مصروف الإهلاك</t>
  </si>
  <si>
    <t>صافي الربح قبل الضريبة</t>
  </si>
  <si>
    <t>ضريبة أرباح تجارية (افتراض لا يوجد)</t>
  </si>
  <si>
    <t>صافي الربح للفترة</t>
  </si>
  <si>
    <t>إجمالي الأصول</t>
  </si>
  <si>
    <t>المبلغ (ريال)</t>
  </si>
  <si>
    <t>أوراق الدفع</t>
  </si>
  <si>
    <t>تأمينات للغير</t>
  </si>
  <si>
    <t>إجمالي الخصوم المتداولة</t>
  </si>
  <si>
    <t>إجمالي حقوق الملكية</t>
  </si>
  <si>
    <t>إجمالي الخصوم وحقوق الملكية</t>
  </si>
  <si>
    <t>موردون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</si>
</sst>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2000401]0"/>
    <numFmt numFmtId="165" formatCode="[$-2000000]dd/mm/yyyy"/>
  </numFmts>
  <fonts count="4" x14ac:knownFonts="1">
    <font>
      <sz val="11"/>
      <color theme="1"/>
      <name val="Aptos Narrow"/>
      <family val="2"/>
      <charset val="178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/>
      <right/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/>
      <diagonal/>
    </border>
    <border>
      <left/>
      <right/>
      <top/>
      <bottom style="thin">
        <color rgb="FF505050"/>
      </bottom>
      <diagonal/>
    </border>
    <border>
      <left style="thin">
        <color rgb="FF505050"/>
      </left>
      <right/>
      <top/>
      <bottom/>
      <diagonal/>
    </border>
    <border>
      <left/>
      <right/>
      <top style="thin">
        <color rgb="FF505050"/>
      </top>
      <bottom/>
      <diagonal/>
    </border>
    <border>
      <left/>
      <right style="thin">
        <color rgb="FF505050"/>
      </right>
      <top/>
      <bottom/>
      <diagonal/>
    </border>
    <border>
      <left style="thin">
        <color rgb="FF505050"/>
      </left>
      <right/>
      <top/>
      <bottom style="thin">
        <color rgb="FF505050"/>
      </bottom>
      <diagonal/>
    </border>
    <border>
      <left/>
      <right style="thin">
        <color rgb="FF505050"/>
      </right>
      <top/>
      <bottom style="thin">
        <color rgb="FF50505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7">
    <xf numFmtId="0" fontId="0" fillId="0" borderId="0" xfId="0"/>
    <xf numFmtId="0" fontId="0" fillId="0" borderId="1" xfId="0" applyBorder="1"/>
    <xf numFmtId="0" fontId="0" fillId="0" borderId="5" xfId="0" applyBorder="1"/>
    <xf numFmtId="0" fontId="0" fillId="0" borderId="2" xfId="0" applyBorder="1"/>
    <xf numFmtId="0" fontId="0" fillId="0" borderId="6" xfId="0" applyBorder="1"/>
    <xf numFmtId="0" fontId="0" fillId="0" borderId="7" xfId="0" applyBorder="1"/>
    <xf numFmtId="0" fontId="0" fillId="4" borderId="1" xfId="0" applyFill="1" applyBorder="1"/>
    <xf numFmtId="0" fontId="0" fillId="4" borderId="5" xfId="0" applyFill="1" applyBorder="1"/>
    <xf numFmtId="0" fontId="0" fillId="3" borderId="1" xfId="0" applyFill="1" applyBorder="1"/>
    <xf numFmtId="0" fontId="0" fillId="3" borderId="2" xfId="0" applyFill="1" applyBorder="1"/>
    <xf numFmtId="0" fontId="0" fillId="6" borderId="1" xfId="0" applyFill="1" applyBorder="1"/>
    <xf numFmtId="0" fontId="0" fillId="6" borderId="2" xfId="0" applyFill="1" applyBorder="1"/>
    <xf numFmtId="0" fontId="0" fillId="4" borderId="2" xfId="0" applyFill="1" applyBorder="1"/>
    <xf numFmtId="0" fontId="0" fillId="4" borderId="6" xfId="0" applyFill="1" applyBorder="1"/>
    <xf numFmtId="0" fontId="0" fillId="7" borderId="1" xfId="0" applyFill="1" applyBorder="1"/>
    <xf numFmtId="0" fontId="0" fillId="8" borderId="1" xfId="0" applyFill="1" applyBorder="1"/>
    <xf numFmtId="164" fontId="0" fillId="0" borderId="1" xfId="0" applyNumberFormat="1" applyBorder="1"/>
    <xf numFmtId="1" fontId="0" fillId="0" borderId="2" xfId="0" applyNumberFormat="1" applyBorder="1"/>
    <xf numFmtId="165" fontId="0" fillId="0" borderId="1" xfId="0" applyNumberFormat="1" applyBorder="1"/>
    <xf numFmtId="165" fontId="0" fillId="0" borderId="5" xfId="0" applyNumberFormat="1" applyBorder="1"/>
    <xf numFmtId="164" fontId="0" fillId="0" borderId="5" xfId="0" applyNumberFormat="1" applyBorder="1"/>
    <xf numFmtId="164" fontId="0" fillId="0" borderId="2" xfId="0" applyNumberFormat="1" applyBorder="1"/>
    <xf numFmtId="165" fontId="0" fillId="0" borderId="0" xfId="0" applyNumberFormat="1"/>
    <xf numFmtId="0" fontId="0" fillId="12" borderId="1" xfId="0" applyFill="1" applyBorder="1"/>
    <xf numFmtId="0" fontId="0" fillId="10" borderId="1" xfId="0" applyFill="1" applyBorder="1"/>
    <xf numFmtId="1" fontId="0" fillId="0" borderId="1" xfId="0" applyNumberFormat="1" applyBorder="1"/>
    <xf numFmtId="0" fontId="0" fillId="0" borderId="14" xfId="0" applyBorder="1"/>
    <xf numFmtId="0" fontId="0" fillId="11" borderId="14" xfId="0" applyFill="1" applyBorder="1"/>
    <xf numFmtId="0" fontId="0" fillId="2" borderId="14" xfId="0" applyFill="1" applyBorder="1"/>
    <xf numFmtId="3" fontId="0" fillId="0" borderId="14" xfId="0" applyNumberFormat="1" applyBorder="1"/>
    <xf numFmtId="3" fontId="0" fillId="2" borderId="14" xfId="0" applyNumberFormat="1" applyFill="1" applyBorder="1"/>
    <xf numFmtId="0" fontId="0" fillId="0" borderId="0" xfId="0" applyAlignment="1">
      <alignment horizontal="right"/>
    </xf>
    <xf numFmtId="0" fontId="1" fillId="0" borderId="0" xfId="0" applyFont="1" applyAlignment="1">
      <alignment wrapText="1"/>
    </xf>
    <xf numFmtId="0" fontId="3" fillId="0" borderId="14" xfId="0" applyFont="1" applyBorder="1" applyAlignment="1">
      <alignment horizontal="right" vertical="center"/>
    </xf>
    <xf numFmtId="3" fontId="3" fillId="0" borderId="14" xfId="0" applyNumberFormat="1" applyFont="1" applyBorder="1" applyAlignment="1">
      <alignment horizontal="right" vertical="center"/>
    </xf>
    <xf numFmtId="0" fontId="2" fillId="0" borderId="14" xfId="0" applyFont="1" applyBorder="1" applyAlignment="1">
      <alignment horizontal="right" vertical="center"/>
    </xf>
    <xf numFmtId="0" fontId="0" fillId="0" borderId="14" xfId="0" applyBorder="1" applyAlignment="1">
      <alignment horizontal="right"/>
    </xf>
    <xf numFmtId="0" fontId="2" fillId="4" borderId="14" xfId="0" applyFont="1" applyFill="1" applyBorder="1" applyAlignment="1">
      <alignment horizontal="right" vertical="center"/>
    </xf>
    <xf numFmtId="0" fontId="0" fillId="4" borderId="14" xfId="0" applyFill="1" applyBorder="1"/>
    <xf numFmtId="3" fontId="2" fillId="4" borderId="14" xfId="0" applyNumberFormat="1" applyFont="1" applyFill="1" applyBorder="1" applyAlignment="1">
      <alignment horizontal="right" vertical="center"/>
    </xf>
    <xf numFmtId="0" fontId="0" fillId="4" borderId="14" xfId="0" applyFill="1" applyBorder="1" applyAlignment="1">
      <alignment horizontal="right"/>
    </xf>
    <xf numFmtId="0" fontId="1" fillId="4" borderId="14" xfId="0" applyFont="1" applyFill="1" applyBorder="1" applyAlignment="1">
      <alignment wrapText="1"/>
    </xf>
    <xf numFmtId="0" fontId="0" fillId="4" borderId="15" xfId="0" applyFill="1" applyBorder="1"/>
    <xf numFmtId="0" fontId="3" fillId="4" borderId="16" xfId="0" applyFont="1" applyFill="1" applyBorder="1" applyAlignment="1">
      <alignment horizontal="right" vertical="center"/>
    </xf>
    <xf numFmtId="0" fontId="0" fillId="4" borderId="16" xfId="0" applyFill="1" applyBorder="1"/>
    <xf numFmtId="0" fontId="2" fillId="6" borderId="14" xfId="0" applyFont="1" applyFill="1" applyBorder="1" applyAlignment="1">
      <alignment horizontal="right" vertical="center" wrapText="1"/>
    </xf>
    <xf numFmtId="0" fontId="3" fillId="0" borderId="14" xfId="0" applyFont="1" applyBorder="1" applyAlignment="1">
      <alignment horizontal="right" vertical="center" wrapText="1"/>
    </xf>
    <xf numFmtId="3" fontId="3" fillId="0" borderId="14" xfId="0" applyNumberFormat="1" applyFont="1" applyBorder="1" applyAlignment="1">
      <alignment horizontal="right" vertical="center" wrapText="1"/>
    </xf>
    <xf numFmtId="3" fontId="2" fillId="0" borderId="14" xfId="0" applyNumberFormat="1" applyFont="1" applyBorder="1" applyAlignment="1">
      <alignment horizontal="right" vertical="center" wrapText="1"/>
    </xf>
    <xf numFmtId="0" fontId="2" fillId="6" borderId="14" xfId="0" applyFont="1" applyFill="1" applyBorder="1" applyAlignment="1">
      <alignment horizontal="right" vertical="center"/>
    </xf>
    <xf numFmtId="0" fontId="1" fillId="4" borderId="14" xfId="0" applyFont="1" applyFill="1" applyBorder="1"/>
    <xf numFmtId="0" fontId="2" fillId="13" borderId="14" xfId="0" applyFont="1" applyFill="1" applyBorder="1" applyAlignment="1">
      <alignment horizontal="right" vertical="center"/>
    </xf>
    <xf numFmtId="3" fontId="0" fillId="0" borderId="0" xfId="0" applyNumberFormat="1"/>
    <xf numFmtId="0" fontId="1" fillId="3" borderId="14" xfId="0" applyFont="1" applyFill="1" applyBorder="1" applyAlignment="1">
      <alignment horizontal="right"/>
    </xf>
    <xf numFmtId="3" fontId="1" fillId="3" borderId="14" xfId="0" applyNumberFormat="1" applyFont="1" applyFill="1" applyBorder="1" applyAlignment="1">
      <alignment horizontal="right"/>
    </xf>
    <xf numFmtId="0" fontId="2" fillId="3" borderId="14" xfId="0" applyFont="1" applyFill="1" applyBorder="1" applyAlignment="1">
      <alignment horizontal="right" vertical="center"/>
    </xf>
    <xf numFmtId="3" fontId="2" fillId="3" borderId="14" xfId="0" applyNumberFormat="1" applyFont="1" applyFill="1" applyBorder="1" applyAlignment="1">
      <alignment horizontal="right" vertical="center"/>
    </xf>
    <xf numFmtId="1" fontId="0" fillId="4" borderId="1" xfId="0" applyNumberFormat="1" applyFill="1" applyBorder="1"/>
    <xf numFmtId="1" fontId="0" fillId="4" borderId="5" xfId="0" applyNumberFormat="1" applyFill="1" applyBorder="1"/>
    <xf numFmtId="3" fontId="0" fillId="0" borderId="1" xfId="0" applyNumberFormat="1" applyBorder="1"/>
    <xf numFmtId="3" fontId="0" fillId="0" borderId="0" xfId="0" applyNumberFormat="1" applyAlignment="1">
      <alignment horizontal="right"/>
    </xf>
    <xf numFmtId="0" fontId="0" fillId="0" borderId="14" xfId="0" applyFill="1" applyBorder="1"/>
    <xf numFmtId="3" fontId="0" fillId="3" borderId="14" xfId="0" applyNumberFormat="1" applyFill="1" applyBorder="1"/>
    <xf numFmtId="3" fontId="0" fillId="10" borderId="14" xfId="0" applyNumberFormat="1" applyFill="1" applyBorder="1"/>
    <xf numFmtId="0" fontId="0" fillId="9" borderId="8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9" borderId="9" xfId="0" applyFill="1" applyBorder="1" applyAlignment="1">
      <alignment horizontal="center"/>
    </xf>
    <xf numFmtId="0" fontId="0" fillId="9" borderId="0" xfId="0" applyFill="1" applyAlignment="1">
      <alignment horizontal="center"/>
    </xf>
    <xf numFmtId="0" fontId="0" fillId="9" borderId="11" xfId="0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0" fillId="14" borderId="9" xfId="0" applyFill="1" applyBorder="1" applyAlignment="1">
      <alignment horizontal="center"/>
    </xf>
    <xf numFmtId="0" fontId="0" fillId="14" borderId="0" xfId="0" applyFill="1" applyAlignment="1">
      <alignment horizontal="center"/>
    </xf>
    <xf numFmtId="0" fontId="0" fillId="14" borderId="11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10" borderId="14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9" borderId="14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9" borderId="5" xfId="0" applyFill="1" applyBorder="1" applyAlignment="1">
      <alignment horizontal="center"/>
    </xf>
    <xf numFmtId="0" fontId="2" fillId="13" borderId="17" xfId="0" applyFont="1" applyFill="1" applyBorder="1" applyAlignment="1">
      <alignment horizontal="center" vertical="center"/>
    </xf>
    <xf numFmtId="0" fontId="2" fillId="13" borderId="1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 /><Relationship Id="rId3" Type="http://schemas.openxmlformats.org/officeDocument/2006/relationships/worksheet" Target="worksheets/sheet3.xml" /><Relationship Id="rId7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10" Type="http://schemas.openxmlformats.org/officeDocument/2006/relationships/calcChain" Target="calcChain.xml" /><Relationship Id="rId4" Type="http://schemas.openxmlformats.org/officeDocument/2006/relationships/worksheet" Target="worksheets/sheet4.xml" /><Relationship Id="rId9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5E8EB-23C7-0F46-986B-D04B970D460E}">
  <dimension ref="A1:E16"/>
  <sheetViews>
    <sheetView rightToLeft="1" topLeftCell="C1" zoomScale="132" zoomScaleNormal="150" zoomScaleSheetLayoutView="100" workbookViewId="0">
      <selection activeCell="C2" sqref="C2:E13"/>
    </sheetView>
  </sheetViews>
  <sheetFormatPr defaultRowHeight="15" x14ac:dyDescent="0.2"/>
  <cols>
    <col min="1" max="1" width="13.85546875" customWidth="1"/>
    <col min="2" max="2" width="11.703125" customWidth="1"/>
    <col min="3" max="3" width="13.046875" customWidth="1"/>
    <col min="4" max="4" width="24.078125" customWidth="1"/>
    <col min="5" max="5" width="27.3046875" customWidth="1"/>
  </cols>
  <sheetData>
    <row r="1" spans="1:5" x14ac:dyDescent="0.2">
      <c r="A1" s="64" t="s">
        <v>37</v>
      </c>
      <c r="B1" s="64"/>
      <c r="C1" s="65" t="s">
        <v>49</v>
      </c>
      <c r="D1" s="66"/>
      <c r="E1" s="67"/>
    </row>
    <row r="2" spans="1:5" x14ac:dyDescent="0.2">
      <c r="A2" s="8" t="s">
        <v>38</v>
      </c>
      <c r="B2" s="9" t="s">
        <v>2</v>
      </c>
      <c r="C2" s="74" t="s">
        <v>50</v>
      </c>
      <c r="D2" s="75"/>
      <c r="E2" s="76"/>
    </row>
    <row r="3" spans="1:5" x14ac:dyDescent="0.2">
      <c r="A3" s="1" t="s">
        <v>39</v>
      </c>
      <c r="B3" s="17">
        <v>200000</v>
      </c>
      <c r="C3" s="77" t="s">
        <v>63</v>
      </c>
      <c r="D3" s="78"/>
      <c r="E3" s="79"/>
    </row>
    <row r="4" spans="1:5" x14ac:dyDescent="0.2">
      <c r="A4" s="1" t="s">
        <v>12</v>
      </c>
      <c r="B4" s="3">
        <v>5000</v>
      </c>
      <c r="C4" s="74" t="s">
        <v>51</v>
      </c>
      <c r="D4" s="75"/>
      <c r="E4" s="76"/>
    </row>
    <row r="5" spans="1:5" x14ac:dyDescent="0.2">
      <c r="A5" s="1" t="s">
        <v>13</v>
      </c>
      <c r="B5" s="3">
        <v>1000000</v>
      </c>
      <c r="C5" s="74" t="s">
        <v>62</v>
      </c>
      <c r="D5" s="75"/>
      <c r="E5" s="76"/>
    </row>
    <row r="6" spans="1:5" x14ac:dyDescent="0.2">
      <c r="A6" s="1" t="s">
        <v>40</v>
      </c>
      <c r="B6" s="3">
        <v>10000</v>
      </c>
      <c r="C6" s="74" t="s">
        <v>61</v>
      </c>
      <c r="D6" s="75"/>
      <c r="E6" s="76"/>
    </row>
    <row r="7" spans="1:5" x14ac:dyDescent="0.2">
      <c r="A7" s="1" t="s">
        <v>22</v>
      </c>
      <c r="B7" s="3">
        <v>100000</v>
      </c>
      <c r="C7" s="74" t="s">
        <v>60</v>
      </c>
      <c r="D7" s="75"/>
      <c r="E7" s="76"/>
    </row>
    <row r="8" spans="1:5" x14ac:dyDescent="0.2">
      <c r="A8" s="1" t="s">
        <v>41</v>
      </c>
      <c r="B8" s="3">
        <v>40000</v>
      </c>
      <c r="C8" s="74" t="s">
        <v>59</v>
      </c>
      <c r="D8" s="75"/>
      <c r="E8" s="76"/>
    </row>
    <row r="9" spans="1:5" x14ac:dyDescent="0.2">
      <c r="A9" s="1" t="s">
        <v>42</v>
      </c>
      <c r="B9" s="3">
        <v>1246000</v>
      </c>
      <c r="C9" s="74" t="s">
        <v>58</v>
      </c>
      <c r="D9" s="75"/>
      <c r="E9" s="76"/>
    </row>
    <row r="10" spans="1:5" x14ac:dyDescent="0.2">
      <c r="A10" s="1" t="s">
        <v>20</v>
      </c>
      <c r="B10" s="3">
        <v>54000</v>
      </c>
      <c r="C10" s="74" t="s">
        <v>52</v>
      </c>
      <c r="D10" s="75"/>
      <c r="E10" s="76"/>
    </row>
    <row r="11" spans="1:5" x14ac:dyDescent="0.2">
      <c r="A11" s="1" t="s">
        <v>43</v>
      </c>
      <c r="B11" s="3">
        <v>10000</v>
      </c>
      <c r="C11" s="74" t="s">
        <v>53</v>
      </c>
      <c r="D11" s="75"/>
      <c r="E11" s="76"/>
    </row>
    <row r="12" spans="1:5" x14ac:dyDescent="0.2">
      <c r="A12" s="1" t="s">
        <v>44</v>
      </c>
      <c r="B12" s="3">
        <v>45000</v>
      </c>
      <c r="C12" s="74" t="s">
        <v>54</v>
      </c>
      <c r="D12" s="75"/>
      <c r="E12" s="76"/>
    </row>
    <row r="13" spans="1:5" x14ac:dyDescent="0.2">
      <c r="A13" s="1" t="s">
        <v>45</v>
      </c>
      <c r="B13" s="3">
        <v>50000</v>
      </c>
      <c r="C13" s="74" t="s">
        <v>55</v>
      </c>
      <c r="D13" s="75"/>
      <c r="E13" s="76"/>
    </row>
    <row r="14" spans="1:5" x14ac:dyDescent="0.2">
      <c r="A14" s="1" t="s">
        <v>46</v>
      </c>
      <c r="B14" s="3">
        <v>50000</v>
      </c>
      <c r="C14" s="68" t="s">
        <v>56</v>
      </c>
      <c r="D14" s="69"/>
      <c r="E14" s="70"/>
    </row>
    <row r="15" spans="1:5" x14ac:dyDescent="0.2">
      <c r="A15" s="1" t="s">
        <v>47</v>
      </c>
      <c r="B15" s="3">
        <v>50000</v>
      </c>
      <c r="C15" s="71" t="s">
        <v>57</v>
      </c>
      <c r="D15" s="72"/>
      <c r="E15" s="73"/>
    </row>
    <row r="16" spans="1:5" x14ac:dyDescent="0.2">
      <c r="A16" s="1" t="s">
        <v>48</v>
      </c>
      <c r="B16" s="1">
        <v>50000</v>
      </c>
    </row>
  </sheetData>
  <mergeCells count="16">
    <mergeCell ref="A1:B1"/>
    <mergeCell ref="C1:E1"/>
    <mergeCell ref="C14:E14"/>
    <mergeCell ref="C15:E15"/>
    <mergeCell ref="C2:E2"/>
    <mergeCell ref="C3:E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ECC42-0A93-5546-8CAB-7C1C5057A6A3}">
  <dimension ref="A1:AW184"/>
  <sheetViews>
    <sheetView rightToLeft="1" topLeftCell="A148" zoomScale="109" zoomScaleNormal="150" zoomScaleSheetLayoutView="100" workbookViewId="0">
      <selection activeCell="C159" sqref="C159"/>
    </sheetView>
  </sheetViews>
  <sheetFormatPr defaultRowHeight="15" x14ac:dyDescent="0.2"/>
  <cols>
    <col min="2" max="2" width="10.0859375" bestFit="1" customWidth="1"/>
    <col min="3" max="3" width="12.64453125" customWidth="1"/>
    <col min="4" max="4" width="12.77734375" customWidth="1"/>
  </cols>
  <sheetData>
    <row r="1" spans="1:49" x14ac:dyDescent="0.2">
      <c r="A1" s="83"/>
      <c r="B1" s="84"/>
      <c r="C1" s="84"/>
      <c r="D1" s="85"/>
      <c r="E1" s="83" t="s">
        <v>3</v>
      </c>
      <c r="F1" s="85"/>
      <c r="G1" s="86" t="s">
        <v>12</v>
      </c>
      <c r="H1" s="87"/>
      <c r="I1" s="86" t="s">
        <v>13</v>
      </c>
      <c r="J1" s="87"/>
      <c r="K1" s="86" t="s">
        <v>14</v>
      </c>
      <c r="L1" s="87"/>
      <c r="M1" s="86" t="s">
        <v>15</v>
      </c>
      <c r="N1" s="87"/>
      <c r="O1" s="86" t="s">
        <v>16</v>
      </c>
      <c r="P1" s="87"/>
      <c r="Q1" s="86" t="s">
        <v>17</v>
      </c>
      <c r="R1" s="87"/>
      <c r="S1" s="86" t="s">
        <v>18</v>
      </c>
      <c r="T1" s="88"/>
      <c r="U1" s="86" t="s">
        <v>19</v>
      </c>
      <c r="V1" s="87"/>
      <c r="W1" s="86" t="s">
        <v>20</v>
      </c>
      <c r="X1" s="87"/>
      <c r="Y1" s="86" t="s">
        <v>22</v>
      </c>
      <c r="Z1" s="87"/>
      <c r="AA1" s="86" t="s">
        <v>23</v>
      </c>
      <c r="AB1" s="87"/>
      <c r="AC1" s="86" t="s">
        <v>24</v>
      </c>
      <c r="AD1" s="88"/>
      <c r="AE1" s="86" t="s">
        <v>25</v>
      </c>
      <c r="AF1" s="87"/>
      <c r="AG1" s="86" t="s">
        <v>26</v>
      </c>
      <c r="AH1" s="87"/>
      <c r="AI1" s="86" t="s">
        <v>27</v>
      </c>
      <c r="AJ1" s="87"/>
      <c r="AK1" s="86" t="s">
        <v>28</v>
      </c>
      <c r="AL1" s="87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">
      <c r="A2" s="15" t="s">
        <v>0</v>
      </c>
      <c r="B2" s="15" t="s">
        <v>1</v>
      </c>
      <c r="C2" s="15" t="s">
        <v>2</v>
      </c>
      <c r="D2" s="15" t="s">
        <v>36</v>
      </c>
      <c r="E2" s="6" t="s">
        <v>4</v>
      </c>
      <c r="F2" s="6" t="s">
        <v>5</v>
      </c>
      <c r="G2" s="1" t="s">
        <v>4</v>
      </c>
      <c r="H2" s="1" t="s">
        <v>5</v>
      </c>
      <c r="I2" s="1" t="s">
        <v>4</v>
      </c>
      <c r="J2" s="1" t="s">
        <v>5</v>
      </c>
      <c r="K2" s="1" t="s">
        <v>4</v>
      </c>
      <c r="L2" s="1" t="s">
        <v>5</v>
      </c>
      <c r="M2" s="1" t="s">
        <v>4</v>
      </c>
      <c r="N2" s="1" t="s">
        <v>5</v>
      </c>
      <c r="O2" s="1" t="s">
        <v>4</v>
      </c>
      <c r="P2" s="1" t="s">
        <v>5</v>
      </c>
      <c r="Q2" s="1" t="s">
        <v>4</v>
      </c>
      <c r="R2" s="1" t="s">
        <v>5</v>
      </c>
      <c r="S2" s="1" t="s">
        <v>4</v>
      </c>
      <c r="T2" s="3" t="s">
        <v>5</v>
      </c>
      <c r="U2" s="1" t="s">
        <v>4</v>
      </c>
      <c r="V2" s="1" t="s">
        <v>5</v>
      </c>
      <c r="W2" s="1" t="s">
        <v>21</v>
      </c>
      <c r="X2" s="1" t="s">
        <v>5</v>
      </c>
      <c r="Y2" s="1" t="s">
        <v>4</v>
      </c>
      <c r="Z2" s="1" t="s">
        <v>5</v>
      </c>
      <c r="AA2" s="1" t="s">
        <v>4</v>
      </c>
      <c r="AB2" s="1" t="s">
        <v>5</v>
      </c>
      <c r="AC2" s="1" t="s">
        <v>4</v>
      </c>
      <c r="AD2" s="3" t="s">
        <v>5</v>
      </c>
      <c r="AE2" s="1" t="s">
        <v>4</v>
      </c>
      <c r="AF2" s="1" t="s">
        <v>5</v>
      </c>
      <c r="AG2" s="1" t="s">
        <v>4</v>
      </c>
      <c r="AH2" s="1" t="s">
        <v>5</v>
      </c>
      <c r="AI2" s="1" t="s">
        <v>4</v>
      </c>
      <c r="AJ2" s="1" t="s">
        <v>5</v>
      </c>
      <c r="AK2" s="1" t="s">
        <v>4</v>
      </c>
      <c r="AL2" s="1" t="s">
        <v>5</v>
      </c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">
      <c r="A3" s="1">
        <v>1</v>
      </c>
      <c r="B3" s="1"/>
      <c r="C3" s="1"/>
      <c r="D3" s="1"/>
      <c r="E3" s="6">
        <f>SUMIF($G$2:$AL$2,$G$2,G3:AL12)</f>
        <v>0</v>
      </c>
      <c r="F3" s="6">
        <f>SUMIF($G$2:AL$2,$G$2,G3:AL3)</f>
        <v>0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3"/>
      <c r="U3" s="1"/>
      <c r="V3" s="1"/>
      <c r="W3" s="1"/>
      <c r="X3" s="1"/>
      <c r="Y3" s="1"/>
      <c r="Z3" s="1"/>
      <c r="AA3" s="1"/>
      <c r="AB3" s="1"/>
      <c r="AC3" s="1"/>
      <c r="AD3" s="3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">
      <c r="A4" s="1">
        <f>A3+1</f>
        <v>2</v>
      </c>
      <c r="B4" s="1"/>
      <c r="C4" s="1"/>
      <c r="D4" s="1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3"/>
      <c r="U4" s="1"/>
      <c r="V4" s="1"/>
      <c r="W4" s="1"/>
      <c r="X4" s="1"/>
      <c r="Y4" s="1"/>
      <c r="Z4" s="1"/>
      <c r="AA4" s="1"/>
      <c r="AB4" s="1"/>
      <c r="AC4" s="1"/>
      <c r="AD4" s="3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">
      <c r="A5" s="1">
        <f t="shared" ref="A5:A12" si="0">A4+1</f>
        <v>3</v>
      </c>
      <c r="B5" s="1"/>
      <c r="C5" s="1"/>
      <c r="D5" s="1"/>
      <c r="E5" s="6"/>
      <c r="F5" s="6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3"/>
      <c r="U5" s="1"/>
      <c r="V5" s="1"/>
      <c r="W5" s="1"/>
      <c r="X5" s="1"/>
      <c r="Y5" s="1"/>
      <c r="Z5" s="1"/>
      <c r="AA5" s="1"/>
      <c r="AB5" s="1"/>
      <c r="AC5" s="1"/>
      <c r="AD5" s="3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">
      <c r="A6" s="1">
        <f t="shared" si="0"/>
        <v>4</v>
      </c>
      <c r="B6" s="1"/>
      <c r="C6" s="1"/>
      <c r="D6" s="1"/>
      <c r="E6" s="6"/>
      <c r="F6" s="6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3"/>
      <c r="U6" s="1"/>
      <c r="V6" s="1"/>
      <c r="W6" s="1"/>
      <c r="X6" s="1"/>
      <c r="Y6" s="1"/>
      <c r="Z6" s="1"/>
      <c r="AA6" s="1"/>
      <c r="AB6" s="1"/>
      <c r="AC6" s="1"/>
      <c r="AD6" s="3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">
      <c r="A7" s="1">
        <f t="shared" si="0"/>
        <v>5</v>
      </c>
      <c r="B7" s="1"/>
      <c r="C7" s="1"/>
      <c r="D7" s="1"/>
      <c r="E7" s="6"/>
      <c r="F7" s="6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3"/>
      <c r="U7" s="1"/>
      <c r="V7" s="1"/>
      <c r="W7" s="1"/>
      <c r="X7" s="1"/>
      <c r="Y7" s="1"/>
      <c r="Z7" s="1"/>
      <c r="AA7" s="1"/>
      <c r="AB7" s="1"/>
      <c r="AC7" s="1"/>
      <c r="AD7" s="3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">
      <c r="A8" s="1">
        <f t="shared" si="0"/>
        <v>6</v>
      </c>
      <c r="B8" s="1"/>
      <c r="C8" s="1"/>
      <c r="D8" s="1"/>
      <c r="E8" s="6"/>
      <c r="F8" s="6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3"/>
      <c r="U8" s="1"/>
      <c r="V8" s="1"/>
      <c r="W8" s="1"/>
      <c r="X8" s="1"/>
      <c r="Y8" s="1"/>
      <c r="Z8" s="1"/>
      <c r="AA8" s="1"/>
      <c r="AB8" s="1"/>
      <c r="AC8" s="1"/>
      <c r="AD8" s="3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">
      <c r="A9" s="1">
        <f t="shared" si="0"/>
        <v>7</v>
      </c>
      <c r="B9" s="1"/>
      <c r="C9" s="1"/>
      <c r="D9" s="1"/>
      <c r="E9" s="6"/>
      <c r="F9" s="6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3"/>
      <c r="U9" s="1"/>
      <c r="V9" s="1"/>
      <c r="W9" s="1"/>
      <c r="X9" s="1"/>
      <c r="Y9" s="1"/>
      <c r="Z9" s="1"/>
      <c r="AA9" s="1"/>
      <c r="AB9" s="1"/>
      <c r="AC9" s="1"/>
      <c r="AD9" s="3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">
      <c r="A10" s="1">
        <f t="shared" si="0"/>
        <v>8</v>
      </c>
      <c r="B10" s="1"/>
      <c r="C10" s="1"/>
      <c r="D10" s="1"/>
      <c r="E10" s="6"/>
      <c r="F10" s="6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3"/>
      <c r="U10" s="1"/>
      <c r="V10" s="1"/>
      <c r="W10" s="1"/>
      <c r="X10" s="1"/>
      <c r="Y10" s="1"/>
      <c r="Z10" s="1"/>
      <c r="AA10" s="1"/>
      <c r="AB10" s="1"/>
      <c r="AC10" s="1"/>
      <c r="AD10" s="3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">
      <c r="A11" s="1">
        <f t="shared" si="0"/>
        <v>9</v>
      </c>
      <c r="B11" s="1"/>
      <c r="C11" s="1"/>
      <c r="D11" s="1"/>
      <c r="E11" s="6"/>
      <c r="F11" s="6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3"/>
      <c r="U11" s="1"/>
      <c r="V11" s="1"/>
      <c r="W11" s="1"/>
      <c r="X11" s="1"/>
      <c r="Y11" s="1"/>
      <c r="Z11" s="1"/>
      <c r="AA11" s="1"/>
      <c r="AB11" s="1"/>
      <c r="AC11" s="1"/>
      <c r="AD11" s="3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">
      <c r="A12" s="1">
        <f t="shared" si="0"/>
        <v>10</v>
      </c>
      <c r="B12" s="1"/>
      <c r="C12" s="1"/>
      <c r="D12" s="1"/>
      <c r="E12" s="6"/>
      <c r="F12" s="6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3"/>
      <c r="U12" s="1"/>
      <c r="V12" s="1"/>
      <c r="W12" s="1"/>
      <c r="X12" s="1"/>
      <c r="Y12" s="1"/>
      <c r="Z12" s="1"/>
      <c r="AA12" s="1"/>
      <c r="AB12" s="1"/>
      <c r="AC12" s="1"/>
      <c r="AD12" s="3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">
      <c r="A13" s="83" t="s">
        <v>6</v>
      </c>
      <c r="B13" s="84"/>
      <c r="C13" s="84"/>
      <c r="D13" s="85"/>
      <c r="E13" s="8">
        <f t="shared" ref="E13:AL13" si="1">SUM(E3:E12)</f>
        <v>0</v>
      </c>
      <c r="F13" s="8">
        <f t="shared" si="1"/>
        <v>0</v>
      </c>
      <c r="G13" s="8">
        <f t="shared" si="1"/>
        <v>0</v>
      </c>
      <c r="H13" s="8">
        <f t="shared" si="1"/>
        <v>0</v>
      </c>
      <c r="I13" s="8">
        <f t="shared" si="1"/>
        <v>0</v>
      </c>
      <c r="J13" s="8">
        <f t="shared" si="1"/>
        <v>0</v>
      </c>
      <c r="K13" s="8">
        <f t="shared" si="1"/>
        <v>0</v>
      </c>
      <c r="L13" s="8">
        <f t="shared" si="1"/>
        <v>0</v>
      </c>
      <c r="M13" s="8">
        <f t="shared" si="1"/>
        <v>0</v>
      </c>
      <c r="N13" s="8">
        <f t="shared" si="1"/>
        <v>0</v>
      </c>
      <c r="O13" s="8">
        <f t="shared" si="1"/>
        <v>0</v>
      </c>
      <c r="P13" s="8">
        <f t="shared" si="1"/>
        <v>0</v>
      </c>
      <c r="Q13" s="8">
        <f t="shared" si="1"/>
        <v>0</v>
      </c>
      <c r="R13" s="8">
        <f t="shared" si="1"/>
        <v>0</v>
      </c>
      <c r="S13" s="8">
        <f t="shared" si="1"/>
        <v>0</v>
      </c>
      <c r="T13" s="9">
        <f t="shared" si="1"/>
        <v>0</v>
      </c>
      <c r="U13" s="8">
        <f t="shared" si="1"/>
        <v>0</v>
      </c>
      <c r="V13" s="8">
        <f t="shared" si="1"/>
        <v>0</v>
      </c>
      <c r="W13" s="8">
        <f t="shared" si="1"/>
        <v>0</v>
      </c>
      <c r="X13" s="8">
        <f t="shared" si="1"/>
        <v>0</v>
      </c>
      <c r="Y13" s="8">
        <f t="shared" si="1"/>
        <v>0</v>
      </c>
      <c r="Z13" s="8">
        <f t="shared" si="1"/>
        <v>0</v>
      </c>
      <c r="AA13" s="8">
        <f t="shared" si="1"/>
        <v>0</v>
      </c>
      <c r="AB13" s="8">
        <f t="shared" si="1"/>
        <v>0</v>
      </c>
      <c r="AC13" s="8">
        <f t="shared" si="1"/>
        <v>0</v>
      </c>
      <c r="AD13" s="9">
        <f t="shared" si="1"/>
        <v>0</v>
      </c>
      <c r="AE13" s="8">
        <f t="shared" si="1"/>
        <v>0</v>
      </c>
      <c r="AF13" s="8">
        <f t="shared" si="1"/>
        <v>0</v>
      </c>
      <c r="AG13" s="8">
        <f t="shared" si="1"/>
        <v>0</v>
      </c>
      <c r="AH13" s="8">
        <f t="shared" si="1"/>
        <v>0</v>
      </c>
      <c r="AI13" s="8">
        <f t="shared" si="1"/>
        <v>0</v>
      </c>
      <c r="AJ13" s="8">
        <f t="shared" si="1"/>
        <v>0</v>
      </c>
      <c r="AK13" s="8">
        <f t="shared" si="1"/>
        <v>0</v>
      </c>
      <c r="AL13" s="8">
        <f t="shared" si="1"/>
        <v>0</v>
      </c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">
      <c r="A14" s="1">
        <v>1</v>
      </c>
      <c r="B14" s="18">
        <v>45689</v>
      </c>
      <c r="C14" s="1" t="s">
        <v>64</v>
      </c>
      <c r="D14" s="16">
        <v>1</v>
      </c>
      <c r="E14" s="57">
        <f>G14+I14+K14+M14+O14+Q14+S14+U14+W14+Y14+AA14+AC14+AE14+AG14+AG14+AI14+AK14</f>
        <v>70110</v>
      </c>
      <c r="F14" s="57">
        <f>H14+J14+L14+N14+P14+R14+T14+V14+X14+Z14+AB14+AD14+AF14+AH14+AH14+AJ14+AL14</f>
        <v>70110</v>
      </c>
      <c r="G14" s="1"/>
      <c r="H14" s="1"/>
      <c r="I14" s="1"/>
      <c r="J14" s="1"/>
      <c r="K14" s="25">
        <v>70110</v>
      </c>
      <c r="L14" s="1"/>
      <c r="M14" s="16"/>
      <c r="N14" s="1"/>
      <c r="O14" s="1"/>
      <c r="P14" s="1"/>
      <c r="Q14" s="1"/>
      <c r="R14" s="1"/>
      <c r="S14" s="1"/>
      <c r="T14" s="3"/>
      <c r="U14" s="1"/>
      <c r="V14" s="1"/>
      <c r="W14" s="1"/>
      <c r="X14" s="1">
        <v>70110</v>
      </c>
      <c r="Y14" s="1"/>
      <c r="Z14" s="1"/>
      <c r="AA14" s="1"/>
      <c r="AB14" s="1"/>
      <c r="AC14" s="1"/>
      <c r="AD14" s="3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">
      <c r="A15" s="1">
        <f>A14+1</f>
        <v>2</v>
      </c>
      <c r="B15" s="18">
        <v>45690</v>
      </c>
      <c r="C15" s="1" t="s">
        <v>64</v>
      </c>
      <c r="D15" s="16">
        <v>2</v>
      </c>
      <c r="E15" s="57">
        <f t="shared" ref="E15:E23" si="2">G15+I15+K15+M15+O15+Q15+S15+U15+W15+Y15+AA15+AC15+AE15+AG15+AG15+AI15+AK15</f>
        <v>93480</v>
      </c>
      <c r="F15" s="57">
        <f t="shared" ref="F15:F23" si="3">H15+J15+L15+N15+P15+R15+T15+V15+X15+Z15+AB15+AD15+AF15+AH15+AH15+AJ15+AL15</f>
        <v>93480</v>
      </c>
      <c r="G15" s="1"/>
      <c r="H15" s="1"/>
      <c r="I15" s="1"/>
      <c r="J15" s="1"/>
      <c r="K15" s="1">
        <v>93480</v>
      </c>
      <c r="L15" s="1"/>
      <c r="M15" s="1"/>
      <c r="N15" s="1"/>
      <c r="O15" s="1"/>
      <c r="P15" s="1"/>
      <c r="Q15" s="1"/>
      <c r="R15" s="1"/>
      <c r="S15" s="1"/>
      <c r="T15" s="3"/>
      <c r="U15" s="1"/>
      <c r="V15" s="1"/>
      <c r="W15" s="1"/>
      <c r="X15" s="1">
        <v>93480</v>
      </c>
      <c r="Y15" s="1"/>
      <c r="Z15" s="1"/>
      <c r="AA15" s="1"/>
      <c r="AB15" s="1"/>
      <c r="AC15" s="1"/>
      <c r="AD15" s="3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">
      <c r="A16" s="1">
        <f t="shared" ref="A16:A23" si="4">A15+1</f>
        <v>3</v>
      </c>
      <c r="B16" s="18">
        <v>45691</v>
      </c>
      <c r="C16" s="1" t="s">
        <v>65</v>
      </c>
      <c r="D16" s="16">
        <v>3</v>
      </c>
      <c r="E16" s="57">
        <f t="shared" si="2"/>
        <v>194200</v>
      </c>
      <c r="F16" s="57">
        <f t="shared" si="3"/>
        <v>194200</v>
      </c>
      <c r="G16" s="1">
        <v>194200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3">
        <v>194200</v>
      </c>
      <c r="U16" s="1"/>
      <c r="V16" s="1"/>
      <c r="X16" s="1"/>
      <c r="Y16" s="1"/>
      <c r="Z16" s="1"/>
      <c r="AA16" s="1"/>
      <c r="AB16" s="1"/>
      <c r="AC16" s="1"/>
      <c r="AD16" s="3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">
      <c r="A17" s="1">
        <f t="shared" si="4"/>
        <v>4</v>
      </c>
      <c r="B17" s="18">
        <v>45692</v>
      </c>
      <c r="C17" s="1" t="s">
        <v>65</v>
      </c>
      <c r="D17" s="16">
        <v>4</v>
      </c>
      <c r="E17" s="57">
        <f t="shared" si="2"/>
        <v>49305</v>
      </c>
      <c r="F17" s="57">
        <f t="shared" si="3"/>
        <v>49305</v>
      </c>
      <c r="G17" s="1">
        <v>49305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>
        <v>49305</v>
      </c>
      <c r="U17" s="1"/>
      <c r="V17" s="1"/>
      <c r="W17" s="1"/>
      <c r="X17" s="1"/>
      <c r="Y17" s="1"/>
      <c r="Z17" s="1"/>
      <c r="AA17" s="1"/>
      <c r="AB17" s="1"/>
      <c r="AC17" s="1"/>
      <c r="AD17" s="3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">
      <c r="A18" s="1">
        <f t="shared" si="4"/>
        <v>5</v>
      </c>
      <c r="B18" s="18">
        <v>45693</v>
      </c>
      <c r="C18" s="1" t="s">
        <v>65</v>
      </c>
      <c r="D18" s="16">
        <v>5</v>
      </c>
      <c r="E18" s="57">
        <f t="shared" si="2"/>
        <v>100030</v>
      </c>
      <c r="F18" s="57">
        <f t="shared" si="3"/>
        <v>100030</v>
      </c>
      <c r="G18" s="1">
        <v>100030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>
        <v>100030</v>
      </c>
      <c r="U18" s="1"/>
      <c r="V18" s="1"/>
      <c r="W18" s="1"/>
      <c r="X18" s="1"/>
      <c r="Y18" s="1"/>
      <c r="Z18" s="1"/>
      <c r="AA18" s="1"/>
      <c r="AB18" s="1"/>
      <c r="AC18" s="1"/>
      <c r="AD18" s="3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">
      <c r="A19" s="1">
        <f t="shared" si="4"/>
        <v>6</v>
      </c>
      <c r="B19" s="18">
        <v>45694</v>
      </c>
      <c r="C19" s="1" t="s">
        <v>104</v>
      </c>
      <c r="D19" s="16">
        <v>6</v>
      </c>
      <c r="E19" s="57">
        <f t="shared" si="2"/>
        <v>41000</v>
      </c>
      <c r="F19" s="57">
        <f t="shared" si="3"/>
        <v>41000</v>
      </c>
      <c r="H19" s="1">
        <v>41000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3"/>
      <c r="U19" s="1"/>
      <c r="V19" s="1"/>
      <c r="W19" s="1">
        <v>41000</v>
      </c>
      <c r="X19" s="1"/>
      <c r="Y19" s="1"/>
      <c r="Z19" s="1"/>
      <c r="AA19" s="1"/>
      <c r="AB19" s="1"/>
      <c r="AC19" s="1"/>
      <c r="AD19" s="3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">
      <c r="A20" s="1">
        <f t="shared" si="4"/>
        <v>7</v>
      </c>
      <c r="B20" s="18">
        <v>45695</v>
      </c>
      <c r="C20" s="1" t="s">
        <v>103</v>
      </c>
      <c r="D20" s="16">
        <v>7</v>
      </c>
      <c r="E20" s="57">
        <f t="shared" si="2"/>
        <v>79700</v>
      </c>
      <c r="F20" s="57">
        <f t="shared" si="3"/>
        <v>79700</v>
      </c>
      <c r="G20" s="1">
        <v>79700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3"/>
      <c r="U20" s="1"/>
      <c r="V20" s="1"/>
      <c r="W20" s="1"/>
      <c r="X20" s="1"/>
      <c r="Y20" s="1"/>
      <c r="Z20" s="1">
        <v>79700</v>
      </c>
      <c r="AA20" s="1"/>
      <c r="AB20" s="1"/>
      <c r="AC20" s="1"/>
      <c r="AD20" s="3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">
      <c r="A21" s="1">
        <f t="shared" si="4"/>
        <v>8</v>
      </c>
      <c r="B21" s="1"/>
      <c r="C21" s="1"/>
      <c r="D21" s="1"/>
      <c r="E21" s="57">
        <f t="shared" si="2"/>
        <v>0</v>
      </c>
      <c r="F21" s="57">
        <f t="shared" si="3"/>
        <v>0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3"/>
      <c r="U21" s="1"/>
      <c r="V21" s="1"/>
      <c r="W21" s="1"/>
      <c r="X21" s="1"/>
      <c r="Y21" s="1"/>
      <c r="Z21" s="1"/>
      <c r="AA21" s="1"/>
      <c r="AB21" s="1"/>
      <c r="AC21" s="1"/>
      <c r="AD21" s="3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">
      <c r="A22" s="1">
        <f t="shared" si="4"/>
        <v>9</v>
      </c>
      <c r="B22" s="1"/>
      <c r="C22" s="1"/>
      <c r="D22" s="1"/>
      <c r="E22" s="57">
        <f t="shared" si="2"/>
        <v>0</v>
      </c>
      <c r="F22" s="57">
        <f t="shared" si="3"/>
        <v>0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3"/>
      <c r="U22" s="1"/>
      <c r="V22" s="1"/>
      <c r="W22" s="1"/>
      <c r="X22" s="1"/>
      <c r="Y22" s="1"/>
      <c r="Z22" s="1"/>
      <c r="AA22" s="1"/>
      <c r="AB22" s="1"/>
      <c r="AC22" s="1"/>
      <c r="AD22" s="3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">
      <c r="A23" s="1">
        <f t="shared" si="4"/>
        <v>10</v>
      </c>
      <c r="B23" s="1"/>
      <c r="C23" s="1"/>
      <c r="D23" s="1"/>
      <c r="E23" s="57">
        <f t="shared" si="2"/>
        <v>0</v>
      </c>
      <c r="F23" s="57">
        <f t="shared" si="3"/>
        <v>0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3"/>
      <c r="U23" s="1"/>
      <c r="V23" s="1"/>
      <c r="W23" s="1"/>
      <c r="X23" s="1"/>
      <c r="Y23" s="1"/>
      <c r="Z23" s="1"/>
      <c r="AA23" s="1"/>
      <c r="AB23" s="1"/>
      <c r="AC23" s="1"/>
      <c r="AD23" s="3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">
      <c r="A24" s="83" t="s">
        <v>7</v>
      </c>
      <c r="B24" s="84"/>
      <c r="C24" s="84"/>
      <c r="D24" s="85"/>
      <c r="E24" s="8">
        <f t="shared" ref="E24:AL24" si="5">SUM(E14:E23)</f>
        <v>627825</v>
      </c>
      <c r="F24" s="8">
        <f t="shared" si="5"/>
        <v>627825</v>
      </c>
      <c r="G24" s="8">
        <f t="shared" si="5"/>
        <v>423235</v>
      </c>
      <c r="H24" s="8">
        <f t="shared" si="5"/>
        <v>41000</v>
      </c>
      <c r="I24" s="8">
        <f t="shared" si="5"/>
        <v>0</v>
      </c>
      <c r="J24" s="8">
        <f t="shared" si="5"/>
        <v>0</v>
      </c>
      <c r="K24" s="8">
        <f t="shared" si="5"/>
        <v>163590</v>
      </c>
      <c r="L24" s="8">
        <f t="shared" si="5"/>
        <v>0</v>
      </c>
      <c r="M24" s="8">
        <f t="shared" si="5"/>
        <v>0</v>
      </c>
      <c r="N24" s="8">
        <f t="shared" si="5"/>
        <v>0</v>
      </c>
      <c r="O24" s="8">
        <f t="shared" si="5"/>
        <v>0</v>
      </c>
      <c r="P24" s="8">
        <f t="shared" si="5"/>
        <v>0</v>
      </c>
      <c r="Q24" s="8">
        <f t="shared" si="5"/>
        <v>0</v>
      </c>
      <c r="R24" s="8">
        <f t="shared" si="5"/>
        <v>0</v>
      </c>
      <c r="S24" s="8">
        <f t="shared" si="5"/>
        <v>0</v>
      </c>
      <c r="T24" s="8">
        <f t="shared" si="5"/>
        <v>343535</v>
      </c>
      <c r="U24" s="8">
        <f t="shared" si="5"/>
        <v>0</v>
      </c>
      <c r="V24" s="8">
        <f t="shared" si="5"/>
        <v>0</v>
      </c>
      <c r="W24" s="8">
        <f t="shared" si="5"/>
        <v>41000</v>
      </c>
      <c r="X24" s="8">
        <f t="shared" si="5"/>
        <v>163590</v>
      </c>
      <c r="Y24" s="8">
        <f t="shared" si="5"/>
        <v>0</v>
      </c>
      <c r="Z24" s="8">
        <f t="shared" si="5"/>
        <v>79700</v>
      </c>
      <c r="AA24" s="8">
        <f t="shared" si="5"/>
        <v>0</v>
      </c>
      <c r="AB24" s="8">
        <f t="shared" si="5"/>
        <v>0</v>
      </c>
      <c r="AC24" s="8">
        <f t="shared" si="5"/>
        <v>0</v>
      </c>
      <c r="AD24" s="8">
        <f t="shared" si="5"/>
        <v>0</v>
      </c>
      <c r="AE24" s="8">
        <f t="shared" si="5"/>
        <v>0</v>
      </c>
      <c r="AF24" s="8">
        <f t="shared" si="5"/>
        <v>0</v>
      </c>
      <c r="AG24" s="8">
        <f t="shared" si="5"/>
        <v>0</v>
      </c>
      <c r="AH24" s="8">
        <f t="shared" si="5"/>
        <v>0</v>
      </c>
      <c r="AI24" s="8">
        <f t="shared" si="5"/>
        <v>0</v>
      </c>
      <c r="AJ24" s="8">
        <f t="shared" si="5"/>
        <v>0</v>
      </c>
      <c r="AK24" s="8">
        <f t="shared" si="5"/>
        <v>0</v>
      </c>
      <c r="AL24" s="8">
        <f t="shared" si="5"/>
        <v>0</v>
      </c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">
      <c r="A25" s="2">
        <v>1</v>
      </c>
      <c r="B25" s="19">
        <v>45717</v>
      </c>
      <c r="C25" s="2" t="s">
        <v>66</v>
      </c>
      <c r="D25" s="20">
        <v>8</v>
      </c>
      <c r="E25" s="58">
        <f>G25+I25+K25+M25+O25+Q25+S25+U25+W25+Y25+AA25+AC25+AE25+AG25+AG25+AI25+AK25</f>
        <v>30000</v>
      </c>
      <c r="F25" s="58">
        <f>H25+J25+L25+N25+P25+R25+T25+V25+X25+Z25+AB25+AD25+AF25+AH25+AH25+AJ25+AL25</f>
        <v>30000</v>
      </c>
      <c r="G25" s="2"/>
      <c r="H25" s="2"/>
      <c r="I25" s="20"/>
      <c r="J25" s="2">
        <v>30000</v>
      </c>
      <c r="K25" s="2"/>
      <c r="L25" s="2"/>
      <c r="M25" s="2"/>
      <c r="N25" s="2"/>
      <c r="O25" s="2"/>
      <c r="P25" s="2"/>
      <c r="Q25" s="2"/>
      <c r="R25" s="2"/>
      <c r="S25" s="2"/>
      <c r="T25" s="4"/>
      <c r="U25" s="1"/>
      <c r="V25" s="1"/>
      <c r="W25" s="1"/>
      <c r="X25" s="1"/>
      <c r="Y25" s="1"/>
      <c r="Z25" s="1"/>
      <c r="AA25" s="1"/>
      <c r="AB25" s="1"/>
      <c r="AC25" s="1">
        <v>30000</v>
      </c>
      <c r="AD25" s="2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">
      <c r="A26" s="1">
        <f>A25+1</f>
        <v>2</v>
      </c>
      <c r="B26" s="18">
        <v>45718</v>
      </c>
      <c r="C26" s="1" t="s">
        <v>84</v>
      </c>
      <c r="D26" s="16">
        <v>9</v>
      </c>
      <c r="E26" s="58">
        <f t="shared" ref="E26:E34" si="6">G26+I26+K26+M26+O26+Q26+S26+U26+W26+Y26+AA26+AC26+AE26+AG26+AG26+AI26+AK26</f>
        <v>1100</v>
      </c>
      <c r="F26" s="58">
        <f t="shared" ref="F26:F34" si="7">H26+J26+L26+N26+P26+R26+T26+V26+X26+Z26+AB26+AD26+AF26+AH26+AH26+AJ26+AL26</f>
        <v>1100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3"/>
      <c r="U26" s="1"/>
      <c r="V26" s="1"/>
      <c r="W26" s="1"/>
      <c r="X26" s="1"/>
      <c r="Y26" s="1"/>
      <c r="Z26" s="1"/>
      <c r="AA26" s="1"/>
      <c r="AB26" s="1"/>
      <c r="AC26" s="1"/>
      <c r="AD26" s="3">
        <v>1100</v>
      </c>
      <c r="AE26" s="1">
        <v>1100</v>
      </c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">
      <c r="A27" s="1">
        <f t="shared" ref="A27:A34" si="8">A26+1</f>
        <v>3</v>
      </c>
      <c r="B27" s="22">
        <v>45719</v>
      </c>
      <c r="C27" s="1" t="s">
        <v>84</v>
      </c>
      <c r="D27" s="16">
        <v>10</v>
      </c>
      <c r="E27" s="58">
        <f t="shared" si="6"/>
        <v>1500</v>
      </c>
      <c r="F27" s="58">
        <f t="shared" si="7"/>
        <v>1500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3"/>
      <c r="U27" s="1"/>
      <c r="V27" s="1"/>
      <c r="W27" s="1"/>
      <c r="X27" s="1"/>
      <c r="Y27" s="1"/>
      <c r="Z27" s="1"/>
      <c r="AA27" s="1"/>
      <c r="AB27" s="1"/>
      <c r="AC27" s="1"/>
      <c r="AD27" s="3">
        <v>1500</v>
      </c>
      <c r="AE27" s="1">
        <v>1500</v>
      </c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">
      <c r="A28" s="1">
        <f t="shared" si="8"/>
        <v>4</v>
      </c>
      <c r="B28" s="18">
        <v>45720</v>
      </c>
      <c r="C28" s="1" t="s">
        <v>66</v>
      </c>
      <c r="D28" s="16">
        <v>11</v>
      </c>
      <c r="E28" s="58">
        <f t="shared" si="6"/>
        <v>30000</v>
      </c>
      <c r="F28" s="58">
        <f t="shared" si="7"/>
        <v>30000</v>
      </c>
      <c r="G28" s="1"/>
      <c r="H28" s="1"/>
      <c r="I28" s="1"/>
      <c r="J28" s="1">
        <v>30000</v>
      </c>
      <c r="K28" s="1"/>
      <c r="L28" s="1"/>
      <c r="M28" s="1"/>
      <c r="N28" s="1"/>
      <c r="O28" s="1"/>
      <c r="P28" s="1"/>
      <c r="Q28" s="1"/>
      <c r="R28" s="1"/>
      <c r="S28" s="1"/>
      <c r="T28" s="3"/>
      <c r="U28" s="1"/>
      <c r="V28" s="1"/>
      <c r="W28" s="1"/>
      <c r="X28" s="1"/>
      <c r="Y28" s="1"/>
      <c r="Z28" s="1"/>
      <c r="AA28" s="1"/>
      <c r="AB28" s="1"/>
      <c r="AC28" s="1">
        <v>30000</v>
      </c>
      <c r="AD28" s="3"/>
      <c r="AE28" s="1"/>
      <c r="AF28" s="1"/>
      <c r="AG28" s="1"/>
      <c r="AH28" s="1"/>
      <c r="AJ28" s="1"/>
      <c r="AK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">
      <c r="A29" s="1">
        <f t="shared" si="8"/>
        <v>5</v>
      </c>
      <c r="B29" s="18">
        <v>45721</v>
      </c>
      <c r="C29" s="1" t="s">
        <v>102</v>
      </c>
      <c r="D29" s="16">
        <v>12</v>
      </c>
      <c r="E29" s="58">
        <f t="shared" si="6"/>
        <v>30000</v>
      </c>
      <c r="F29" s="58">
        <f t="shared" si="7"/>
        <v>30000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3"/>
      <c r="U29" s="1"/>
      <c r="V29" s="1"/>
      <c r="W29" s="1"/>
      <c r="X29" s="1"/>
      <c r="Y29" s="1"/>
      <c r="Z29" s="1"/>
      <c r="AA29" s="1"/>
      <c r="AB29" s="1"/>
      <c r="AC29" s="1"/>
      <c r="AD29" s="3"/>
      <c r="AE29" s="1"/>
      <c r="AF29" s="1"/>
      <c r="AG29" s="1"/>
      <c r="AH29" s="1"/>
      <c r="AI29" s="1">
        <v>30000</v>
      </c>
      <c r="AJ29" s="1"/>
      <c r="AK29" s="1"/>
      <c r="AL29" s="1">
        <v>30000</v>
      </c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">
      <c r="A30" s="1">
        <f t="shared" si="8"/>
        <v>6</v>
      </c>
      <c r="B30" s="1"/>
      <c r="C30" s="1"/>
      <c r="D30" s="1"/>
      <c r="E30" s="58">
        <f t="shared" si="6"/>
        <v>0</v>
      </c>
      <c r="F30" s="58">
        <f t="shared" si="7"/>
        <v>0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3"/>
      <c r="U30" s="1"/>
      <c r="V30" s="1"/>
      <c r="W30" s="1"/>
      <c r="X30" s="1"/>
      <c r="Y30" s="1"/>
      <c r="Z30" s="1"/>
      <c r="AA30" s="1"/>
      <c r="AB30" s="1"/>
      <c r="AC30" s="1"/>
      <c r="AD30" s="3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">
      <c r="A31" s="1">
        <f t="shared" si="8"/>
        <v>7</v>
      </c>
      <c r="B31" s="1"/>
      <c r="C31" s="1"/>
      <c r="D31" s="1"/>
      <c r="E31" s="58">
        <f t="shared" si="6"/>
        <v>0</v>
      </c>
      <c r="F31" s="58">
        <f t="shared" si="7"/>
        <v>0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3"/>
      <c r="U31" s="1"/>
      <c r="V31" s="1"/>
      <c r="W31" s="1"/>
      <c r="X31" s="1"/>
      <c r="Y31" s="1"/>
      <c r="Z31" s="1"/>
      <c r="AA31" s="1"/>
      <c r="AB31" s="1"/>
      <c r="AC31" s="1"/>
      <c r="AD31" s="3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">
      <c r="A32" s="1">
        <f t="shared" si="8"/>
        <v>8</v>
      </c>
      <c r="B32" s="1"/>
      <c r="C32" s="1"/>
      <c r="D32" s="1"/>
      <c r="E32" s="58">
        <f t="shared" si="6"/>
        <v>0</v>
      </c>
      <c r="F32" s="58">
        <f t="shared" si="7"/>
        <v>0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3"/>
      <c r="U32" s="1"/>
      <c r="V32" s="1"/>
      <c r="W32" s="1"/>
      <c r="X32" s="1"/>
      <c r="Y32" s="1"/>
      <c r="Z32" s="1"/>
      <c r="AA32" s="1"/>
      <c r="AB32" s="1"/>
      <c r="AC32" s="1"/>
      <c r="AD32" s="3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">
      <c r="A33" s="1">
        <f t="shared" si="8"/>
        <v>9</v>
      </c>
      <c r="B33" s="1"/>
      <c r="C33" s="1"/>
      <c r="D33" s="1"/>
      <c r="E33" s="58">
        <f t="shared" si="6"/>
        <v>0</v>
      </c>
      <c r="F33" s="58">
        <f t="shared" si="7"/>
        <v>0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3"/>
      <c r="U33" s="1"/>
      <c r="V33" s="1"/>
      <c r="W33" s="1"/>
      <c r="X33" s="1"/>
      <c r="Y33" s="1"/>
      <c r="Z33" s="1"/>
      <c r="AA33" s="1"/>
      <c r="AB33" s="1"/>
      <c r="AC33" s="1"/>
      <c r="AD33" s="3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">
      <c r="A34" s="1">
        <f t="shared" si="8"/>
        <v>10</v>
      </c>
      <c r="B34" s="1"/>
      <c r="C34" s="1"/>
      <c r="D34" s="1"/>
      <c r="E34" s="58">
        <f t="shared" si="6"/>
        <v>0</v>
      </c>
      <c r="F34" s="58">
        <f t="shared" si="7"/>
        <v>0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3"/>
      <c r="U34" s="1"/>
      <c r="V34" s="1"/>
      <c r="W34" s="1"/>
      <c r="X34" s="1"/>
      <c r="Y34" s="1"/>
      <c r="Z34" s="1"/>
      <c r="AA34" s="1"/>
      <c r="AB34" s="1"/>
      <c r="AC34" s="1"/>
      <c r="AD34" s="3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">
      <c r="A35" s="83" t="s">
        <v>8</v>
      </c>
      <c r="B35" s="84"/>
      <c r="C35" s="84"/>
      <c r="D35" s="85"/>
      <c r="E35" s="8">
        <f t="shared" ref="E35:AL35" si="9">SUM(E25:E34)</f>
        <v>92600</v>
      </c>
      <c r="F35" s="8">
        <f t="shared" si="9"/>
        <v>92600</v>
      </c>
      <c r="G35" s="8">
        <f t="shared" si="9"/>
        <v>0</v>
      </c>
      <c r="H35" s="8">
        <f t="shared" si="9"/>
        <v>0</v>
      </c>
      <c r="I35" s="8">
        <f t="shared" si="9"/>
        <v>0</v>
      </c>
      <c r="J35" s="8">
        <f t="shared" si="9"/>
        <v>60000</v>
      </c>
      <c r="K35" s="8">
        <f t="shared" si="9"/>
        <v>0</v>
      </c>
      <c r="L35" s="8">
        <f t="shared" si="9"/>
        <v>0</v>
      </c>
      <c r="M35" s="8">
        <f t="shared" si="9"/>
        <v>0</v>
      </c>
      <c r="N35" s="8">
        <f t="shared" si="9"/>
        <v>0</v>
      </c>
      <c r="O35" s="8">
        <f t="shared" si="9"/>
        <v>0</v>
      </c>
      <c r="P35" s="8">
        <f t="shared" si="9"/>
        <v>0</v>
      </c>
      <c r="Q35" s="8">
        <f t="shared" si="9"/>
        <v>0</v>
      </c>
      <c r="R35" s="8">
        <f t="shared" si="9"/>
        <v>0</v>
      </c>
      <c r="S35" s="8">
        <f t="shared" si="9"/>
        <v>0</v>
      </c>
      <c r="T35" s="8">
        <f t="shared" si="9"/>
        <v>0</v>
      </c>
      <c r="U35" s="8">
        <f t="shared" si="9"/>
        <v>0</v>
      </c>
      <c r="V35" s="8">
        <f t="shared" si="9"/>
        <v>0</v>
      </c>
      <c r="W35" s="8">
        <f t="shared" si="9"/>
        <v>0</v>
      </c>
      <c r="X35" s="8">
        <f t="shared" si="9"/>
        <v>0</v>
      </c>
      <c r="Y35" s="8">
        <f t="shared" si="9"/>
        <v>0</v>
      </c>
      <c r="Z35" s="8">
        <f t="shared" si="9"/>
        <v>0</v>
      </c>
      <c r="AA35" s="8">
        <f t="shared" si="9"/>
        <v>0</v>
      </c>
      <c r="AB35" s="8">
        <f t="shared" si="9"/>
        <v>0</v>
      </c>
      <c r="AC35" s="8">
        <f t="shared" si="9"/>
        <v>60000</v>
      </c>
      <c r="AD35" s="8">
        <f t="shared" si="9"/>
        <v>2600</v>
      </c>
      <c r="AE35" s="8">
        <f t="shared" si="9"/>
        <v>2600</v>
      </c>
      <c r="AF35" s="8">
        <f t="shared" si="9"/>
        <v>0</v>
      </c>
      <c r="AG35" s="8">
        <f t="shared" si="9"/>
        <v>0</v>
      </c>
      <c r="AH35" s="8">
        <f t="shared" si="9"/>
        <v>0</v>
      </c>
      <c r="AI35" s="8">
        <f t="shared" si="9"/>
        <v>30000</v>
      </c>
      <c r="AJ35" s="8">
        <f t="shared" si="9"/>
        <v>0</v>
      </c>
      <c r="AK35" s="8">
        <f t="shared" si="9"/>
        <v>0</v>
      </c>
      <c r="AL35" s="8">
        <f t="shared" si="9"/>
        <v>30000</v>
      </c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">
      <c r="A36" s="1">
        <v>1</v>
      </c>
      <c r="B36" s="1"/>
      <c r="C36" s="1"/>
      <c r="D36" s="1"/>
      <c r="E36" s="6"/>
      <c r="F36" s="6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3"/>
      <c r="U36" s="1"/>
      <c r="V36" s="1"/>
      <c r="W36" s="1"/>
      <c r="X36" s="1"/>
      <c r="Y36" s="1"/>
      <c r="Z36" s="1"/>
      <c r="AA36" s="1"/>
      <c r="AB36" s="1"/>
      <c r="AC36" s="1"/>
      <c r="AD36" s="3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">
      <c r="A37" s="1">
        <f>A36+1</f>
        <v>2</v>
      </c>
      <c r="B37" s="1"/>
      <c r="C37" s="1"/>
      <c r="D37" s="1"/>
      <c r="E37" s="6"/>
      <c r="F37" s="6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3"/>
      <c r="U37" s="1"/>
      <c r="V37" s="1"/>
      <c r="W37" s="1"/>
      <c r="X37" s="1"/>
      <c r="Y37" s="1"/>
      <c r="Z37" s="1"/>
      <c r="AA37" s="1"/>
      <c r="AB37" s="1"/>
      <c r="AC37" s="1"/>
      <c r="AD37" s="3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">
      <c r="A38" s="1">
        <f t="shared" ref="A38:A45" si="10">A37+1</f>
        <v>3</v>
      </c>
      <c r="B38" s="1"/>
      <c r="C38" s="1"/>
      <c r="D38" s="1"/>
      <c r="E38" s="6"/>
      <c r="F38" s="6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3"/>
      <c r="U38" s="1"/>
      <c r="V38" s="1"/>
      <c r="W38" s="1"/>
      <c r="X38" s="1"/>
      <c r="Y38" s="1"/>
      <c r="Z38" s="1"/>
      <c r="AA38" s="1"/>
      <c r="AB38" s="1"/>
      <c r="AC38" s="1"/>
      <c r="AD38" s="3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">
      <c r="A39" s="1">
        <f t="shared" si="10"/>
        <v>4</v>
      </c>
      <c r="B39" s="1"/>
      <c r="C39" s="1"/>
      <c r="D39" s="1"/>
      <c r="E39" s="6"/>
      <c r="F39" s="6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3"/>
      <c r="U39" s="1"/>
      <c r="V39" s="1"/>
      <c r="W39" s="1"/>
      <c r="X39" s="1"/>
      <c r="Y39" s="1"/>
      <c r="Z39" s="1"/>
      <c r="AA39" s="1"/>
      <c r="AB39" s="1"/>
      <c r="AC39" s="1"/>
      <c r="AD39" s="3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">
      <c r="A40" s="1">
        <f t="shared" si="10"/>
        <v>5</v>
      </c>
      <c r="B40" s="1"/>
      <c r="C40" s="1"/>
      <c r="D40" s="1"/>
      <c r="E40" s="6"/>
      <c r="F40" s="6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3"/>
      <c r="U40" s="1"/>
      <c r="V40" s="1"/>
      <c r="W40" s="1"/>
      <c r="X40" s="1"/>
      <c r="Y40" s="1"/>
      <c r="Z40" s="1"/>
      <c r="AA40" s="1"/>
      <c r="AB40" s="1"/>
      <c r="AC40" s="1"/>
      <c r="AD40" s="3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">
      <c r="A41" s="1">
        <f t="shared" si="10"/>
        <v>6</v>
      </c>
      <c r="B41" s="1"/>
      <c r="C41" s="1"/>
      <c r="D41" s="1"/>
      <c r="E41" s="6"/>
      <c r="F41" s="6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3"/>
      <c r="U41" s="1"/>
      <c r="V41" s="1"/>
      <c r="W41" s="1"/>
      <c r="X41" s="1"/>
      <c r="Y41" s="1"/>
      <c r="Z41" s="1"/>
      <c r="AA41" s="1"/>
      <c r="AB41" s="1"/>
      <c r="AC41" s="1"/>
      <c r="AD41" s="3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">
      <c r="A42" s="1">
        <f t="shared" si="10"/>
        <v>7</v>
      </c>
      <c r="B42" s="1"/>
      <c r="C42" s="1"/>
      <c r="D42" s="1"/>
      <c r="E42" s="6"/>
      <c r="F42" s="6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3"/>
      <c r="U42" s="1"/>
      <c r="V42" s="1"/>
      <c r="W42" s="1"/>
      <c r="X42" s="1"/>
      <c r="Y42" s="1"/>
      <c r="Z42" s="1"/>
      <c r="AA42" s="1"/>
      <c r="AB42" s="1"/>
      <c r="AC42" s="1"/>
      <c r="AD42" s="3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">
      <c r="A43" s="1">
        <f t="shared" si="10"/>
        <v>8</v>
      </c>
      <c r="B43" s="1"/>
      <c r="C43" s="1"/>
      <c r="D43" s="1"/>
      <c r="E43" s="6"/>
      <c r="F43" s="6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3"/>
      <c r="U43" s="1"/>
      <c r="V43" s="1"/>
      <c r="W43" s="1"/>
      <c r="X43" s="1"/>
      <c r="Y43" s="1"/>
      <c r="Z43" s="1"/>
      <c r="AA43" s="1"/>
      <c r="AB43" s="1"/>
      <c r="AC43" s="1"/>
      <c r="AD43" s="3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">
      <c r="A44" s="1">
        <f t="shared" si="10"/>
        <v>9</v>
      </c>
      <c r="B44" s="2"/>
      <c r="C44" s="2"/>
      <c r="D44" s="2"/>
      <c r="E44" s="7"/>
      <c r="F44" s="7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4"/>
      <c r="U44" s="1"/>
      <c r="V44" s="1"/>
      <c r="W44" s="1"/>
      <c r="X44" s="1"/>
      <c r="Y44" s="1"/>
      <c r="Z44" s="1"/>
      <c r="AA44" s="1"/>
      <c r="AB44" s="1"/>
      <c r="AC44" s="1"/>
      <c r="AD44" s="3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">
      <c r="A45" s="1">
        <f t="shared" si="10"/>
        <v>10</v>
      </c>
      <c r="B45" s="1"/>
      <c r="C45" s="1"/>
      <c r="D45" s="1"/>
      <c r="E45" s="6"/>
      <c r="F45" s="6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3"/>
      <c r="U45" s="1"/>
      <c r="V45" s="1"/>
      <c r="W45" s="1"/>
      <c r="X45" s="1"/>
      <c r="Y45" s="1"/>
      <c r="Z45" s="1"/>
      <c r="AA45" s="1"/>
      <c r="AB45" s="1"/>
      <c r="AC45" s="1"/>
      <c r="AD45" s="3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">
      <c r="A46" s="83" t="s">
        <v>9</v>
      </c>
      <c r="B46" s="84"/>
      <c r="C46" s="84"/>
      <c r="D46" s="85"/>
      <c r="E46" s="8">
        <f t="shared" ref="E46:AL46" si="11">SUM(E36:E45)</f>
        <v>0</v>
      </c>
      <c r="F46" s="8">
        <f t="shared" si="11"/>
        <v>0</v>
      </c>
      <c r="G46" s="8">
        <f t="shared" si="11"/>
        <v>0</v>
      </c>
      <c r="H46" s="8">
        <f t="shared" si="11"/>
        <v>0</v>
      </c>
      <c r="I46" s="8">
        <f t="shared" si="11"/>
        <v>0</v>
      </c>
      <c r="J46" s="8">
        <f t="shared" si="11"/>
        <v>0</v>
      </c>
      <c r="K46" s="8">
        <f t="shared" si="11"/>
        <v>0</v>
      </c>
      <c r="L46" s="8">
        <f t="shared" si="11"/>
        <v>0</v>
      </c>
      <c r="M46" s="8">
        <f t="shared" si="11"/>
        <v>0</v>
      </c>
      <c r="N46" s="8">
        <f t="shared" si="11"/>
        <v>0</v>
      </c>
      <c r="O46" s="8">
        <f t="shared" si="11"/>
        <v>0</v>
      </c>
      <c r="P46" s="8">
        <f t="shared" si="11"/>
        <v>0</v>
      </c>
      <c r="Q46" s="8">
        <f t="shared" si="11"/>
        <v>0</v>
      </c>
      <c r="R46" s="8">
        <f t="shared" si="11"/>
        <v>0</v>
      </c>
      <c r="S46" s="8">
        <f t="shared" si="11"/>
        <v>0</v>
      </c>
      <c r="T46" s="9">
        <f t="shared" si="11"/>
        <v>0</v>
      </c>
      <c r="U46" s="8">
        <f t="shared" si="11"/>
        <v>0</v>
      </c>
      <c r="V46" s="8">
        <f t="shared" si="11"/>
        <v>0</v>
      </c>
      <c r="W46" s="8">
        <f t="shared" si="11"/>
        <v>0</v>
      </c>
      <c r="X46" s="8">
        <f t="shared" si="11"/>
        <v>0</v>
      </c>
      <c r="Y46" s="8">
        <f t="shared" si="11"/>
        <v>0</v>
      </c>
      <c r="Z46" s="8">
        <f t="shared" si="11"/>
        <v>0</v>
      </c>
      <c r="AA46" s="8">
        <f t="shared" si="11"/>
        <v>0</v>
      </c>
      <c r="AB46" s="8">
        <f t="shared" si="11"/>
        <v>0</v>
      </c>
      <c r="AC46" s="8">
        <f t="shared" si="11"/>
        <v>0</v>
      </c>
      <c r="AD46" s="9">
        <f t="shared" si="11"/>
        <v>0</v>
      </c>
      <c r="AE46" s="8">
        <f t="shared" si="11"/>
        <v>0</v>
      </c>
      <c r="AF46" s="8">
        <f t="shared" si="11"/>
        <v>0</v>
      </c>
      <c r="AG46" s="8">
        <f t="shared" si="11"/>
        <v>0</v>
      </c>
      <c r="AH46" s="8">
        <f t="shared" si="11"/>
        <v>0</v>
      </c>
      <c r="AI46" s="8">
        <f t="shared" si="11"/>
        <v>0</v>
      </c>
      <c r="AJ46" s="8">
        <f t="shared" si="11"/>
        <v>0</v>
      </c>
      <c r="AK46" s="8">
        <f t="shared" si="11"/>
        <v>0</v>
      </c>
      <c r="AL46" s="8">
        <f t="shared" si="11"/>
        <v>0</v>
      </c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">
      <c r="A47" s="1">
        <v>1</v>
      </c>
      <c r="B47" s="1"/>
      <c r="C47" s="1"/>
      <c r="D47" s="1"/>
      <c r="E47" s="6"/>
      <c r="F47" s="6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3"/>
      <c r="U47" s="1"/>
      <c r="V47" s="1"/>
      <c r="W47" s="1"/>
      <c r="X47" s="1"/>
      <c r="Y47" s="1"/>
      <c r="Z47" s="1"/>
      <c r="AA47" s="1"/>
      <c r="AB47" s="1"/>
      <c r="AC47" s="1"/>
      <c r="AD47" s="3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">
      <c r="A48" s="1">
        <f>A47+1</f>
        <v>2</v>
      </c>
      <c r="B48" s="1"/>
      <c r="C48" s="1"/>
      <c r="D48" s="1"/>
      <c r="E48" s="6"/>
      <c r="F48" s="6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3"/>
      <c r="U48" s="1"/>
      <c r="V48" s="1"/>
      <c r="W48" s="1"/>
      <c r="X48" s="1"/>
      <c r="Y48" s="1"/>
      <c r="Z48" s="1"/>
      <c r="AA48" s="1"/>
      <c r="AB48" s="1"/>
      <c r="AC48" s="1"/>
      <c r="AD48" s="3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">
      <c r="A49" s="1">
        <f t="shared" ref="A49:A56" si="12">A48+1</f>
        <v>3</v>
      </c>
      <c r="B49" s="1"/>
      <c r="C49" s="1"/>
      <c r="D49" s="1"/>
      <c r="E49" s="6"/>
      <c r="F49" s="6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3"/>
      <c r="U49" s="1"/>
      <c r="V49" s="1"/>
      <c r="W49" s="1"/>
      <c r="X49" s="1"/>
      <c r="Y49" s="1"/>
      <c r="Z49" s="1"/>
      <c r="AA49" s="1"/>
      <c r="AB49" s="1"/>
      <c r="AC49" s="1"/>
      <c r="AD49" s="3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">
      <c r="A50" s="1">
        <f t="shared" si="12"/>
        <v>4</v>
      </c>
      <c r="B50" s="1"/>
      <c r="C50" s="1"/>
      <c r="D50" s="1"/>
      <c r="E50" s="6"/>
      <c r="F50" s="6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3"/>
      <c r="U50" s="1"/>
      <c r="V50" s="1"/>
      <c r="W50" s="1"/>
      <c r="X50" s="1"/>
      <c r="Y50" s="1"/>
      <c r="Z50" s="1"/>
      <c r="AA50" s="1"/>
      <c r="AB50" s="1"/>
      <c r="AC50" s="1"/>
      <c r="AD50" s="3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">
      <c r="A51" s="1">
        <f t="shared" si="12"/>
        <v>5</v>
      </c>
      <c r="B51" s="1"/>
      <c r="C51" s="1"/>
      <c r="D51" s="1"/>
      <c r="E51" s="6"/>
      <c r="F51" s="6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3"/>
      <c r="U51" s="1"/>
      <c r="V51" s="1"/>
      <c r="W51" s="1"/>
      <c r="X51" s="1"/>
      <c r="Y51" s="1"/>
      <c r="Z51" s="1"/>
      <c r="AA51" s="1"/>
      <c r="AB51" s="1"/>
      <c r="AC51" s="1"/>
      <c r="AD51" s="3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">
      <c r="A52" s="1">
        <f t="shared" si="12"/>
        <v>6</v>
      </c>
      <c r="B52" s="1"/>
      <c r="C52" s="1"/>
      <c r="D52" s="1"/>
      <c r="E52" s="6"/>
      <c r="F52" s="6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3"/>
      <c r="U52" s="1"/>
      <c r="V52" s="1"/>
      <c r="W52" s="1"/>
      <c r="X52" s="1"/>
      <c r="Y52" s="1"/>
      <c r="Z52" s="1"/>
      <c r="AA52" s="1"/>
      <c r="AB52" s="1"/>
      <c r="AC52" s="1"/>
      <c r="AD52" s="3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">
      <c r="A53" s="1">
        <f t="shared" si="12"/>
        <v>7</v>
      </c>
      <c r="B53" s="1"/>
      <c r="C53" s="1"/>
      <c r="D53" s="1"/>
      <c r="E53" s="6"/>
      <c r="F53" s="6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3"/>
      <c r="U53" s="1"/>
      <c r="V53" s="1"/>
      <c r="W53" s="1"/>
      <c r="X53" s="1"/>
      <c r="Y53" s="1"/>
      <c r="Z53" s="1"/>
      <c r="AA53" s="1"/>
      <c r="AB53" s="1"/>
      <c r="AC53" s="1"/>
      <c r="AD53" s="3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">
      <c r="A54" s="1">
        <f t="shared" si="12"/>
        <v>8</v>
      </c>
      <c r="B54" s="1"/>
      <c r="C54" s="1"/>
      <c r="D54" s="1"/>
      <c r="E54" s="6"/>
      <c r="F54" s="6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3"/>
      <c r="U54" s="1"/>
      <c r="V54" s="1"/>
      <c r="W54" s="1"/>
      <c r="X54" s="1"/>
      <c r="Y54" s="1"/>
      <c r="Z54" s="1"/>
      <c r="AA54" s="1"/>
      <c r="AB54" s="1"/>
      <c r="AC54" s="1"/>
      <c r="AD54" s="3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">
      <c r="A55" s="1">
        <f t="shared" si="12"/>
        <v>9</v>
      </c>
      <c r="B55" s="1"/>
      <c r="C55" s="1"/>
      <c r="D55" s="1"/>
      <c r="E55" s="6"/>
      <c r="F55" s="6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3"/>
      <c r="U55" s="1"/>
      <c r="V55" s="1"/>
      <c r="W55" s="1"/>
      <c r="X55" s="1"/>
      <c r="Y55" s="1"/>
      <c r="Z55" s="1"/>
      <c r="AA55" s="1"/>
      <c r="AB55" s="1"/>
      <c r="AC55" s="1"/>
      <c r="AD55" s="3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">
      <c r="A56" s="1">
        <f t="shared" si="12"/>
        <v>10</v>
      </c>
      <c r="B56" s="1"/>
      <c r="C56" s="1"/>
      <c r="D56" s="1"/>
      <c r="E56" s="6"/>
      <c r="F56" s="6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3"/>
      <c r="U56" s="1"/>
      <c r="V56" s="1"/>
      <c r="W56" s="1"/>
      <c r="X56" s="1"/>
      <c r="Y56" s="1"/>
      <c r="Z56" s="1"/>
      <c r="AA56" s="1"/>
      <c r="AB56" s="1"/>
      <c r="AC56" s="1"/>
      <c r="AD56" s="3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">
      <c r="A57" s="83" t="s">
        <v>10</v>
      </c>
      <c r="B57" s="84"/>
      <c r="C57" s="84"/>
      <c r="D57" s="85"/>
      <c r="E57" s="8">
        <f t="shared" ref="E57:AL57" si="13">SUM(E47:E56)</f>
        <v>0</v>
      </c>
      <c r="F57" s="8">
        <f t="shared" si="13"/>
        <v>0</v>
      </c>
      <c r="G57" s="8">
        <f t="shared" si="13"/>
        <v>0</v>
      </c>
      <c r="H57" s="8">
        <f t="shared" si="13"/>
        <v>0</v>
      </c>
      <c r="I57" s="8">
        <f t="shared" si="13"/>
        <v>0</v>
      </c>
      <c r="J57" s="8">
        <f t="shared" si="13"/>
        <v>0</v>
      </c>
      <c r="K57" s="8">
        <f t="shared" si="13"/>
        <v>0</v>
      </c>
      <c r="L57" s="8">
        <f t="shared" si="13"/>
        <v>0</v>
      </c>
      <c r="M57" s="8">
        <f t="shared" si="13"/>
        <v>0</v>
      </c>
      <c r="N57" s="8">
        <f t="shared" si="13"/>
        <v>0</v>
      </c>
      <c r="O57" s="8">
        <f t="shared" si="13"/>
        <v>0</v>
      </c>
      <c r="P57" s="8">
        <f t="shared" si="13"/>
        <v>0</v>
      </c>
      <c r="Q57" s="8">
        <f t="shared" si="13"/>
        <v>0</v>
      </c>
      <c r="R57" s="8">
        <f t="shared" si="13"/>
        <v>0</v>
      </c>
      <c r="S57" s="8">
        <f t="shared" si="13"/>
        <v>0</v>
      </c>
      <c r="T57" s="9">
        <f t="shared" si="13"/>
        <v>0</v>
      </c>
      <c r="U57" s="8">
        <f t="shared" si="13"/>
        <v>0</v>
      </c>
      <c r="V57" s="8">
        <f t="shared" si="13"/>
        <v>0</v>
      </c>
      <c r="W57" s="8">
        <f t="shared" si="13"/>
        <v>0</v>
      </c>
      <c r="X57" s="8">
        <f t="shared" si="13"/>
        <v>0</v>
      </c>
      <c r="Y57" s="8">
        <f t="shared" si="13"/>
        <v>0</v>
      </c>
      <c r="Z57" s="8">
        <f t="shared" si="13"/>
        <v>0</v>
      </c>
      <c r="AA57" s="8">
        <f t="shared" si="13"/>
        <v>0</v>
      </c>
      <c r="AB57" s="8">
        <f t="shared" si="13"/>
        <v>0</v>
      </c>
      <c r="AC57" s="8">
        <f t="shared" si="13"/>
        <v>0</v>
      </c>
      <c r="AD57" s="9">
        <f t="shared" si="13"/>
        <v>0</v>
      </c>
      <c r="AE57" s="8">
        <f t="shared" si="13"/>
        <v>0</v>
      </c>
      <c r="AF57" s="8">
        <f t="shared" si="13"/>
        <v>0</v>
      </c>
      <c r="AG57" s="8">
        <f t="shared" si="13"/>
        <v>0</v>
      </c>
      <c r="AH57" s="8">
        <f t="shared" si="13"/>
        <v>0</v>
      </c>
      <c r="AI57" s="8">
        <f t="shared" si="13"/>
        <v>0</v>
      </c>
      <c r="AJ57" s="8">
        <f t="shared" si="13"/>
        <v>0</v>
      </c>
      <c r="AK57" s="8">
        <f t="shared" si="13"/>
        <v>0</v>
      </c>
      <c r="AL57" s="8">
        <f t="shared" si="13"/>
        <v>0</v>
      </c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">
      <c r="A58" s="1">
        <v>1</v>
      </c>
      <c r="B58" s="1"/>
      <c r="C58" s="1"/>
      <c r="D58" s="1"/>
      <c r="E58" s="6"/>
      <c r="F58" s="6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3"/>
      <c r="U58" s="1"/>
      <c r="V58" s="1"/>
      <c r="W58" s="1"/>
      <c r="X58" s="1"/>
      <c r="Y58" s="1"/>
      <c r="Z58" s="1"/>
      <c r="AA58" s="1"/>
      <c r="AB58" s="1"/>
      <c r="AC58" s="1"/>
      <c r="AD58" s="3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">
      <c r="A59" s="1">
        <f>A58+1</f>
        <v>2</v>
      </c>
      <c r="B59" s="1"/>
      <c r="C59" s="1"/>
      <c r="D59" s="1"/>
      <c r="E59" s="6"/>
      <c r="F59" s="6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3"/>
      <c r="U59" s="1"/>
      <c r="V59" s="1"/>
      <c r="W59" s="1"/>
      <c r="X59" s="1"/>
      <c r="Y59" s="1"/>
      <c r="Z59" s="1"/>
      <c r="AA59" s="1"/>
      <c r="AB59" s="1"/>
      <c r="AC59" s="1"/>
      <c r="AD59" s="3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">
      <c r="A60" s="1">
        <f t="shared" ref="A60:A67" si="14">A59+1</f>
        <v>3</v>
      </c>
      <c r="B60" s="1"/>
      <c r="C60" s="1"/>
      <c r="D60" s="1"/>
      <c r="E60" s="6"/>
      <c r="F60" s="6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3"/>
      <c r="U60" s="1"/>
      <c r="V60" s="1"/>
      <c r="W60" s="1"/>
      <c r="X60" s="1"/>
      <c r="Y60" s="1"/>
      <c r="Z60" s="1"/>
      <c r="AA60" s="1"/>
      <c r="AB60" s="1"/>
      <c r="AC60" s="1"/>
      <c r="AD60" s="3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">
      <c r="A61" s="1">
        <f t="shared" si="14"/>
        <v>4</v>
      </c>
      <c r="B61" s="1"/>
      <c r="C61" s="1"/>
      <c r="D61" s="1"/>
      <c r="E61" s="6"/>
      <c r="F61" s="6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3"/>
      <c r="U61" s="1"/>
      <c r="V61" s="1"/>
      <c r="W61" s="1"/>
      <c r="X61" s="1"/>
      <c r="Y61" s="1"/>
      <c r="Z61" s="1"/>
      <c r="AA61" s="1"/>
      <c r="AB61" s="1"/>
      <c r="AC61" s="1"/>
      <c r="AD61" s="3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">
      <c r="A62" s="1">
        <f t="shared" si="14"/>
        <v>5</v>
      </c>
      <c r="B62" s="2"/>
      <c r="C62" s="2"/>
      <c r="D62" s="2"/>
      <c r="E62" s="7"/>
      <c r="F62" s="7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4"/>
      <c r="U62" s="1"/>
      <c r="V62" s="1"/>
      <c r="W62" s="1"/>
      <c r="X62" s="1"/>
      <c r="Y62" s="1"/>
      <c r="Z62" s="1"/>
      <c r="AA62" s="1"/>
      <c r="AB62" s="1"/>
      <c r="AC62" s="1"/>
      <c r="AD62" s="3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">
      <c r="A63" s="1">
        <f t="shared" si="14"/>
        <v>6</v>
      </c>
      <c r="B63" s="1"/>
      <c r="C63" s="1"/>
      <c r="D63" s="1"/>
      <c r="E63" s="6"/>
      <c r="F63" s="6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3"/>
      <c r="U63" s="1"/>
      <c r="V63" s="1"/>
      <c r="W63" s="1"/>
      <c r="X63" s="1"/>
      <c r="Y63" s="1"/>
      <c r="Z63" s="1"/>
      <c r="AA63" s="1"/>
      <c r="AB63" s="1"/>
      <c r="AC63" s="1"/>
      <c r="AD63" s="3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">
      <c r="A64" s="1">
        <f t="shared" si="14"/>
        <v>7</v>
      </c>
      <c r="B64" s="1"/>
      <c r="C64" s="1"/>
      <c r="D64" s="1"/>
      <c r="E64" s="6"/>
      <c r="F64" s="6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3"/>
      <c r="U64" s="1"/>
      <c r="V64" s="1"/>
      <c r="W64" s="1"/>
      <c r="X64" s="1"/>
      <c r="Y64" s="1"/>
      <c r="Z64" s="1"/>
      <c r="AA64" s="1"/>
      <c r="AB64" s="1"/>
      <c r="AC64" s="1"/>
      <c r="AD64" s="3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">
      <c r="A65" s="1">
        <f t="shared" si="14"/>
        <v>8</v>
      </c>
      <c r="B65" s="1"/>
      <c r="C65" s="1"/>
      <c r="D65" s="1"/>
      <c r="E65" s="6"/>
      <c r="F65" s="6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3"/>
      <c r="U65" s="1"/>
      <c r="V65" s="1"/>
      <c r="W65" s="1"/>
      <c r="X65" s="1"/>
      <c r="Y65" s="1"/>
      <c r="Z65" s="1"/>
      <c r="AA65" s="1"/>
      <c r="AB65" s="1"/>
      <c r="AC65" s="1"/>
      <c r="AD65" s="3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">
      <c r="A66" s="1">
        <f t="shared" si="14"/>
        <v>9</v>
      </c>
      <c r="B66" s="1"/>
      <c r="C66" s="1"/>
      <c r="D66" s="1"/>
      <c r="E66" s="6"/>
      <c r="F66" s="6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3"/>
      <c r="U66" s="1"/>
      <c r="V66" s="1"/>
      <c r="W66" s="1"/>
      <c r="X66" s="1"/>
      <c r="Y66" s="1"/>
      <c r="Z66" s="1"/>
      <c r="AA66" s="1"/>
      <c r="AB66" s="1"/>
      <c r="AC66" s="1"/>
      <c r="AD66" s="3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">
      <c r="A67" s="1">
        <f t="shared" si="14"/>
        <v>10</v>
      </c>
      <c r="B67" s="1"/>
      <c r="C67" s="1"/>
      <c r="D67" s="1"/>
      <c r="E67" s="6"/>
      <c r="F67" s="6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3"/>
      <c r="U67" s="1"/>
      <c r="V67" s="1"/>
      <c r="W67" s="1"/>
      <c r="X67" s="1"/>
      <c r="Y67" s="1"/>
      <c r="Z67" s="1"/>
      <c r="AA67" s="1"/>
      <c r="AB67" s="1"/>
      <c r="AC67" s="1"/>
      <c r="AD67" s="3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">
      <c r="A68" s="83" t="s">
        <v>29</v>
      </c>
      <c r="B68" s="84"/>
      <c r="C68" s="84"/>
      <c r="D68" s="85"/>
      <c r="E68" s="8">
        <f t="shared" ref="E68:AL68" si="15">SUM(E58:E67)</f>
        <v>0</v>
      </c>
      <c r="F68" s="8">
        <f t="shared" si="15"/>
        <v>0</v>
      </c>
      <c r="G68" s="8">
        <f t="shared" si="15"/>
        <v>0</v>
      </c>
      <c r="H68" s="8">
        <f t="shared" si="15"/>
        <v>0</v>
      </c>
      <c r="I68" s="8">
        <f t="shared" si="15"/>
        <v>0</v>
      </c>
      <c r="J68" s="8">
        <f t="shared" si="15"/>
        <v>0</v>
      </c>
      <c r="K68" s="8">
        <f t="shared" si="15"/>
        <v>0</v>
      </c>
      <c r="L68" s="8">
        <f t="shared" si="15"/>
        <v>0</v>
      </c>
      <c r="M68" s="8">
        <f t="shared" si="15"/>
        <v>0</v>
      </c>
      <c r="N68" s="8">
        <f t="shared" si="15"/>
        <v>0</v>
      </c>
      <c r="O68" s="8">
        <f t="shared" si="15"/>
        <v>0</v>
      </c>
      <c r="P68" s="8">
        <f t="shared" si="15"/>
        <v>0</v>
      </c>
      <c r="Q68" s="8">
        <f t="shared" si="15"/>
        <v>0</v>
      </c>
      <c r="R68" s="8">
        <f t="shared" si="15"/>
        <v>0</v>
      </c>
      <c r="S68" s="8">
        <f t="shared" si="15"/>
        <v>0</v>
      </c>
      <c r="T68" s="9">
        <f t="shared" si="15"/>
        <v>0</v>
      </c>
      <c r="U68" s="8">
        <f t="shared" si="15"/>
        <v>0</v>
      </c>
      <c r="V68" s="8">
        <f t="shared" si="15"/>
        <v>0</v>
      </c>
      <c r="W68" s="8">
        <f t="shared" si="15"/>
        <v>0</v>
      </c>
      <c r="X68" s="8">
        <f t="shared" si="15"/>
        <v>0</v>
      </c>
      <c r="Y68" s="8">
        <f t="shared" si="15"/>
        <v>0</v>
      </c>
      <c r="Z68" s="8">
        <f t="shared" si="15"/>
        <v>0</v>
      </c>
      <c r="AA68" s="8">
        <f t="shared" si="15"/>
        <v>0</v>
      </c>
      <c r="AB68" s="8">
        <f t="shared" si="15"/>
        <v>0</v>
      </c>
      <c r="AC68" s="8">
        <f t="shared" si="15"/>
        <v>0</v>
      </c>
      <c r="AD68" s="9">
        <f t="shared" si="15"/>
        <v>0</v>
      </c>
      <c r="AE68" s="8">
        <f t="shared" si="15"/>
        <v>0</v>
      </c>
      <c r="AF68" s="8">
        <f t="shared" si="15"/>
        <v>0</v>
      </c>
      <c r="AG68" s="8">
        <f t="shared" si="15"/>
        <v>0</v>
      </c>
      <c r="AH68" s="8">
        <f t="shared" si="15"/>
        <v>0</v>
      </c>
      <c r="AI68" s="8">
        <f t="shared" si="15"/>
        <v>0</v>
      </c>
      <c r="AJ68" s="8">
        <f t="shared" si="15"/>
        <v>0</v>
      </c>
      <c r="AK68" s="8">
        <f t="shared" si="15"/>
        <v>0</v>
      </c>
      <c r="AL68" s="8">
        <f t="shared" si="15"/>
        <v>0</v>
      </c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">
      <c r="A69" s="1">
        <v>1</v>
      </c>
      <c r="B69" s="1"/>
      <c r="C69" s="1"/>
      <c r="D69" s="1"/>
      <c r="E69" s="6"/>
      <c r="F69" s="6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3"/>
      <c r="U69" s="1"/>
      <c r="V69" s="1"/>
      <c r="W69" s="1"/>
      <c r="X69" s="1"/>
      <c r="Y69" s="1"/>
      <c r="Z69" s="1"/>
      <c r="AA69" s="1"/>
      <c r="AB69" s="1"/>
      <c r="AC69" s="1"/>
      <c r="AD69" s="3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">
      <c r="A70" s="1">
        <f>A69+1</f>
        <v>2</v>
      </c>
      <c r="B70" s="1"/>
      <c r="C70" s="1"/>
      <c r="D70" s="1"/>
      <c r="E70" s="6"/>
      <c r="F70" s="6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3"/>
      <c r="U70" s="1"/>
      <c r="V70" s="1"/>
      <c r="W70" s="1"/>
      <c r="X70" s="1"/>
      <c r="Y70" s="1"/>
      <c r="Z70" s="1"/>
      <c r="AA70" s="1"/>
      <c r="AB70" s="1"/>
      <c r="AC70" s="1"/>
      <c r="AD70" s="3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">
      <c r="A71" s="1">
        <f t="shared" ref="A71:A78" si="16">A70+1</f>
        <v>3</v>
      </c>
      <c r="B71" s="1"/>
      <c r="C71" s="1"/>
      <c r="D71" s="1"/>
      <c r="E71" s="6"/>
      <c r="F71" s="6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3"/>
      <c r="U71" s="1"/>
      <c r="V71" s="1"/>
      <c r="W71" s="1"/>
      <c r="X71" s="1"/>
      <c r="Y71" s="1"/>
      <c r="Z71" s="1"/>
      <c r="AA71" s="1"/>
      <c r="AB71" s="1"/>
      <c r="AC71" s="1"/>
      <c r="AD71" s="3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">
      <c r="A72" s="1">
        <f t="shared" si="16"/>
        <v>4</v>
      </c>
      <c r="B72" s="1"/>
      <c r="C72" s="1"/>
      <c r="D72" s="1"/>
      <c r="E72" s="6"/>
      <c r="F72" s="6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3"/>
      <c r="U72" s="1"/>
      <c r="V72" s="1"/>
      <c r="W72" s="1"/>
      <c r="X72" s="1"/>
      <c r="Y72" s="1"/>
      <c r="Z72" s="1"/>
      <c r="AA72" s="1"/>
      <c r="AB72" s="1"/>
      <c r="AC72" s="1"/>
      <c r="AD72" s="3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">
      <c r="A73" s="1">
        <f t="shared" si="16"/>
        <v>5</v>
      </c>
      <c r="B73" s="1"/>
      <c r="C73" s="1"/>
      <c r="D73" s="1"/>
      <c r="E73" s="6"/>
      <c r="F73" s="6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3"/>
      <c r="U73" s="1"/>
      <c r="V73" s="1"/>
      <c r="W73" s="1"/>
      <c r="X73" s="1"/>
      <c r="Y73" s="1"/>
      <c r="Z73" s="1"/>
      <c r="AA73" s="1"/>
      <c r="AB73" s="1"/>
      <c r="AC73" s="1"/>
      <c r="AD73" s="3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">
      <c r="A74" s="1">
        <f t="shared" si="16"/>
        <v>6</v>
      </c>
      <c r="B74" s="1"/>
      <c r="C74" s="1"/>
      <c r="D74" s="1"/>
      <c r="E74" s="6"/>
      <c r="F74" s="6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3"/>
      <c r="U74" s="1"/>
      <c r="V74" s="1"/>
      <c r="W74" s="1"/>
      <c r="X74" s="1"/>
      <c r="Y74" s="1"/>
      <c r="Z74" s="1"/>
      <c r="AA74" s="1"/>
      <c r="AB74" s="1"/>
      <c r="AC74" s="1"/>
      <c r="AD74" s="3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">
      <c r="A75" s="1">
        <f t="shared" si="16"/>
        <v>7</v>
      </c>
      <c r="B75" s="1"/>
      <c r="C75" s="1"/>
      <c r="D75" s="1"/>
      <c r="E75" s="6"/>
      <c r="F75" s="6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3"/>
      <c r="U75" s="1"/>
      <c r="V75" s="1"/>
      <c r="W75" s="1"/>
      <c r="X75" s="1"/>
      <c r="Y75" s="1"/>
      <c r="Z75" s="1"/>
      <c r="AA75" s="1"/>
      <c r="AB75" s="1"/>
      <c r="AC75" s="1"/>
      <c r="AD75" s="3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">
      <c r="A76" s="1">
        <f t="shared" si="16"/>
        <v>8</v>
      </c>
      <c r="B76" s="1"/>
      <c r="C76" s="1"/>
      <c r="D76" s="1"/>
      <c r="E76" s="6"/>
      <c r="F76" s="6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3"/>
      <c r="U76" s="1"/>
      <c r="V76" s="1"/>
      <c r="W76" s="1"/>
      <c r="X76" s="1"/>
      <c r="Y76" s="1"/>
      <c r="Z76" s="1"/>
      <c r="AA76" s="1"/>
      <c r="AB76" s="1"/>
      <c r="AC76" s="1"/>
      <c r="AD76" s="3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">
      <c r="A77" s="1">
        <f t="shared" si="16"/>
        <v>9</v>
      </c>
      <c r="B77" s="1"/>
      <c r="C77" s="1"/>
      <c r="D77" s="1"/>
      <c r="E77" s="6"/>
      <c r="F77" s="6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3"/>
      <c r="U77" s="1"/>
      <c r="V77" s="1"/>
      <c r="W77" s="1"/>
      <c r="X77" s="1"/>
      <c r="Y77" s="1"/>
      <c r="Z77" s="1"/>
      <c r="AA77" s="1"/>
      <c r="AB77" s="1"/>
      <c r="AC77" s="1"/>
      <c r="AD77" s="3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">
      <c r="A78" s="1">
        <f t="shared" si="16"/>
        <v>10</v>
      </c>
      <c r="B78" s="1"/>
      <c r="C78" s="1"/>
      <c r="D78" s="1"/>
      <c r="E78" s="6"/>
      <c r="F78" s="6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3"/>
      <c r="U78" s="1"/>
      <c r="V78" s="1"/>
      <c r="W78" s="1"/>
      <c r="X78" s="1"/>
      <c r="Y78" s="1"/>
      <c r="Z78" s="1"/>
      <c r="AA78" s="1"/>
      <c r="AB78" s="1"/>
      <c r="AC78" s="1"/>
      <c r="AD78" s="3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">
      <c r="A79" s="83" t="s">
        <v>11</v>
      </c>
      <c r="B79" s="84"/>
      <c r="C79" s="84"/>
      <c r="D79" s="85"/>
      <c r="E79" s="8">
        <f t="shared" ref="E79:AL79" si="17">SUM(E69:E78)</f>
        <v>0</v>
      </c>
      <c r="F79" s="8">
        <f t="shared" si="17"/>
        <v>0</v>
      </c>
      <c r="G79" s="8">
        <f t="shared" si="17"/>
        <v>0</v>
      </c>
      <c r="H79" s="8">
        <f t="shared" si="17"/>
        <v>0</v>
      </c>
      <c r="I79" s="8">
        <f t="shared" si="17"/>
        <v>0</v>
      </c>
      <c r="J79" s="8">
        <f t="shared" si="17"/>
        <v>0</v>
      </c>
      <c r="K79" s="8">
        <f t="shared" si="17"/>
        <v>0</v>
      </c>
      <c r="L79" s="8">
        <f t="shared" si="17"/>
        <v>0</v>
      </c>
      <c r="M79" s="8">
        <f t="shared" si="17"/>
        <v>0</v>
      </c>
      <c r="N79" s="8">
        <f t="shared" si="17"/>
        <v>0</v>
      </c>
      <c r="O79" s="8">
        <f t="shared" si="17"/>
        <v>0</v>
      </c>
      <c r="P79" s="8">
        <f t="shared" si="17"/>
        <v>0</v>
      </c>
      <c r="Q79" s="8">
        <f t="shared" si="17"/>
        <v>0</v>
      </c>
      <c r="R79" s="8">
        <f t="shared" si="17"/>
        <v>0</v>
      </c>
      <c r="S79" s="8">
        <f t="shared" si="17"/>
        <v>0</v>
      </c>
      <c r="T79" s="9">
        <f t="shared" si="17"/>
        <v>0</v>
      </c>
      <c r="U79" s="8">
        <f t="shared" si="17"/>
        <v>0</v>
      </c>
      <c r="V79" s="8">
        <f t="shared" si="17"/>
        <v>0</v>
      </c>
      <c r="W79" s="8">
        <f t="shared" si="17"/>
        <v>0</v>
      </c>
      <c r="X79" s="8">
        <f t="shared" si="17"/>
        <v>0</v>
      </c>
      <c r="Y79" s="8">
        <f t="shared" si="17"/>
        <v>0</v>
      </c>
      <c r="Z79" s="8">
        <f t="shared" si="17"/>
        <v>0</v>
      </c>
      <c r="AA79" s="8">
        <f t="shared" si="17"/>
        <v>0</v>
      </c>
      <c r="AB79" s="8">
        <f t="shared" si="17"/>
        <v>0</v>
      </c>
      <c r="AC79" s="8">
        <f t="shared" si="17"/>
        <v>0</v>
      </c>
      <c r="AD79" s="9">
        <f t="shared" si="17"/>
        <v>0</v>
      </c>
      <c r="AE79" s="8">
        <f t="shared" si="17"/>
        <v>0</v>
      </c>
      <c r="AF79" s="8">
        <f t="shared" si="17"/>
        <v>0</v>
      </c>
      <c r="AG79" s="8">
        <f t="shared" si="17"/>
        <v>0</v>
      </c>
      <c r="AH79" s="8">
        <f t="shared" si="17"/>
        <v>0</v>
      </c>
      <c r="AI79" s="8">
        <f t="shared" si="17"/>
        <v>0</v>
      </c>
      <c r="AJ79" s="8">
        <f t="shared" si="17"/>
        <v>0</v>
      </c>
      <c r="AK79" s="8">
        <f t="shared" si="17"/>
        <v>0</v>
      </c>
      <c r="AL79" s="8">
        <f t="shared" si="17"/>
        <v>0</v>
      </c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">
      <c r="A80" s="1">
        <v>1</v>
      </c>
      <c r="B80" s="1"/>
      <c r="C80" s="1"/>
      <c r="D80" s="1"/>
      <c r="E80" s="6"/>
      <c r="F80" s="6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3"/>
      <c r="U80" s="1"/>
      <c r="V80" s="1"/>
      <c r="W80" s="1"/>
      <c r="X80" s="1"/>
      <c r="Y80" s="1"/>
      <c r="Z80" s="1"/>
      <c r="AA80" s="1"/>
      <c r="AB80" s="1"/>
      <c r="AC80" s="1"/>
      <c r="AD80" s="3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">
      <c r="A81" s="1">
        <f>A80+1</f>
        <v>2</v>
      </c>
      <c r="B81" s="1"/>
      <c r="C81" s="1"/>
      <c r="D81" s="1"/>
      <c r="E81" s="6"/>
      <c r="F81" s="6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3"/>
      <c r="U81" s="1"/>
      <c r="V81" s="1"/>
      <c r="W81" s="1"/>
      <c r="X81" s="1"/>
      <c r="Y81" s="1"/>
      <c r="Z81" s="1"/>
      <c r="AA81" s="1"/>
      <c r="AB81" s="1"/>
      <c r="AC81" s="1"/>
      <c r="AD81" s="3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">
      <c r="A82" s="1">
        <f t="shared" ref="A82:A89" si="18">A81+1</f>
        <v>3</v>
      </c>
      <c r="B82" s="1"/>
      <c r="C82" s="1"/>
      <c r="D82" s="1"/>
      <c r="E82" s="6"/>
      <c r="F82" s="6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3"/>
      <c r="U82" s="1"/>
      <c r="V82" s="1"/>
      <c r="W82" s="1"/>
      <c r="X82" s="1"/>
      <c r="Y82" s="1"/>
      <c r="Z82" s="1"/>
      <c r="AA82" s="1"/>
      <c r="AB82" s="1"/>
      <c r="AC82" s="1"/>
      <c r="AD82" s="3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">
      <c r="A83" s="1">
        <f t="shared" si="18"/>
        <v>4</v>
      </c>
      <c r="B83" s="1"/>
      <c r="C83" s="1"/>
      <c r="D83" s="1"/>
      <c r="E83" s="6"/>
      <c r="F83" s="6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3"/>
      <c r="U83" s="1"/>
      <c r="V83" s="1"/>
      <c r="W83" s="1"/>
      <c r="X83" s="1"/>
      <c r="Y83" s="1"/>
      <c r="Z83" s="1"/>
      <c r="AA83" s="1"/>
      <c r="AB83" s="1"/>
      <c r="AC83" s="1"/>
      <c r="AD83" s="3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">
      <c r="A84" s="1">
        <f t="shared" si="18"/>
        <v>5</v>
      </c>
      <c r="B84" s="1"/>
      <c r="C84" s="1"/>
      <c r="D84" s="1"/>
      <c r="E84" s="6"/>
      <c r="F84" s="6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3"/>
      <c r="U84" s="1"/>
      <c r="V84" s="1"/>
      <c r="W84" s="1"/>
      <c r="X84" s="1"/>
      <c r="Y84" s="1"/>
      <c r="Z84" s="1"/>
      <c r="AA84" s="1"/>
      <c r="AB84" s="1"/>
      <c r="AC84" s="1"/>
      <c r="AD84" s="3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">
      <c r="A85" s="1">
        <f t="shared" si="18"/>
        <v>6</v>
      </c>
      <c r="B85" s="1"/>
      <c r="C85" s="1"/>
      <c r="D85" s="1"/>
      <c r="E85" s="6"/>
      <c r="F85" s="6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3"/>
      <c r="U85" s="1"/>
      <c r="V85" s="1"/>
      <c r="W85" s="1"/>
      <c r="X85" s="1"/>
      <c r="Y85" s="1"/>
      <c r="Z85" s="1"/>
      <c r="AA85" s="1"/>
      <c r="AB85" s="1"/>
      <c r="AC85" s="1"/>
      <c r="AD85" s="3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">
      <c r="A86" s="1">
        <f t="shared" si="18"/>
        <v>7</v>
      </c>
      <c r="B86" s="1"/>
      <c r="C86" s="1"/>
      <c r="D86" s="1"/>
      <c r="E86" s="6"/>
      <c r="F86" s="6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3"/>
      <c r="U86" s="1"/>
      <c r="V86" s="1"/>
      <c r="W86" s="1"/>
      <c r="X86" s="1"/>
      <c r="Y86" s="1"/>
      <c r="Z86" s="1"/>
      <c r="AA86" s="1"/>
      <c r="AB86" s="1"/>
      <c r="AC86" s="1"/>
      <c r="AD86" s="3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">
      <c r="A87" s="1">
        <f t="shared" si="18"/>
        <v>8</v>
      </c>
      <c r="B87" s="1"/>
      <c r="C87" s="1"/>
      <c r="D87" s="1"/>
      <c r="E87" s="6"/>
      <c r="F87" s="6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3"/>
      <c r="U87" s="1"/>
      <c r="V87" s="1"/>
      <c r="W87" s="1"/>
      <c r="X87" s="1"/>
      <c r="Y87" s="1"/>
      <c r="Z87" s="1"/>
      <c r="AA87" s="1"/>
      <c r="AB87" s="1"/>
      <c r="AC87" s="1"/>
      <c r="AD87" s="3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">
      <c r="A88" s="1">
        <f t="shared" si="18"/>
        <v>9</v>
      </c>
      <c r="B88" s="1"/>
      <c r="C88" s="1"/>
      <c r="D88" s="1"/>
      <c r="E88" s="6"/>
      <c r="F88" s="6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3"/>
      <c r="U88" s="1"/>
      <c r="V88" s="1"/>
      <c r="W88" s="1"/>
      <c r="X88" s="1"/>
      <c r="Y88" s="1"/>
      <c r="Z88" s="1"/>
      <c r="AA88" s="1"/>
      <c r="AB88" s="1"/>
      <c r="AC88" s="1"/>
      <c r="AD88" s="3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">
      <c r="A89" s="1">
        <f t="shared" si="18"/>
        <v>10</v>
      </c>
      <c r="B89" s="1"/>
      <c r="C89" s="1"/>
      <c r="D89" s="1"/>
      <c r="E89" s="6"/>
      <c r="F89" s="6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3"/>
      <c r="U89" s="1"/>
      <c r="V89" s="1"/>
      <c r="W89" s="1"/>
      <c r="X89" s="1"/>
      <c r="Y89" s="1"/>
      <c r="Z89" s="1"/>
      <c r="AA89" s="1"/>
      <c r="AB89" s="1"/>
      <c r="AC89" s="1"/>
      <c r="AD89" s="3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">
      <c r="A90" s="83" t="s">
        <v>30</v>
      </c>
      <c r="B90" s="84"/>
      <c r="C90" s="84"/>
      <c r="D90" s="85"/>
      <c r="E90" s="10">
        <f t="shared" ref="E90:AL90" si="19">SUM(E80:E89)</f>
        <v>0</v>
      </c>
      <c r="F90" s="10">
        <f t="shared" si="19"/>
        <v>0</v>
      </c>
      <c r="G90" s="10">
        <f t="shared" si="19"/>
        <v>0</v>
      </c>
      <c r="H90" s="10">
        <f t="shared" si="19"/>
        <v>0</v>
      </c>
      <c r="I90" s="10">
        <f t="shared" si="19"/>
        <v>0</v>
      </c>
      <c r="J90" s="10">
        <f t="shared" si="19"/>
        <v>0</v>
      </c>
      <c r="K90" s="10">
        <f t="shared" si="19"/>
        <v>0</v>
      </c>
      <c r="L90" s="10">
        <f t="shared" si="19"/>
        <v>0</v>
      </c>
      <c r="M90" s="10">
        <f t="shared" si="19"/>
        <v>0</v>
      </c>
      <c r="N90" s="10">
        <f t="shared" si="19"/>
        <v>0</v>
      </c>
      <c r="O90" s="10">
        <f t="shared" si="19"/>
        <v>0</v>
      </c>
      <c r="P90" s="10">
        <f t="shared" si="19"/>
        <v>0</v>
      </c>
      <c r="Q90" s="10">
        <f t="shared" si="19"/>
        <v>0</v>
      </c>
      <c r="R90" s="10">
        <f t="shared" si="19"/>
        <v>0</v>
      </c>
      <c r="S90" s="10">
        <f t="shared" si="19"/>
        <v>0</v>
      </c>
      <c r="T90" s="11">
        <f t="shared" si="19"/>
        <v>0</v>
      </c>
      <c r="U90" s="10">
        <f t="shared" si="19"/>
        <v>0</v>
      </c>
      <c r="V90" s="10">
        <f t="shared" si="19"/>
        <v>0</v>
      </c>
      <c r="W90" s="10">
        <f t="shared" si="19"/>
        <v>0</v>
      </c>
      <c r="X90" s="10">
        <f t="shared" si="19"/>
        <v>0</v>
      </c>
      <c r="Y90" s="10">
        <f t="shared" si="19"/>
        <v>0</v>
      </c>
      <c r="Z90" s="10">
        <f t="shared" si="19"/>
        <v>0</v>
      </c>
      <c r="AA90" s="10">
        <f t="shared" si="19"/>
        <v>0</v>
      </c>
      <c r="AB90" s="10">
        <f t="shared" si="19"/>
        <v>0</v>
      </c>
      <c r="AC90" s="10">
        <f t="shared" si="19"/>
        <v>0</v>
      </c>
      <c r="AD90" s="11">
        <f t="shared" si="19"/>
        <v>0</v>
      </c>
      <c r="AE90" s="10">
        <f t="shared" si="19"/>
        <v>0</v>
      </c>
      <c r="AF90" s="10">
        <f t="shared" si="19"/>
        <v>0</v>
      </c>
      <c r="AG90" s="10">
        <f t="shared" si="19"/>
        <v>0</v>
      </c>
      <c r="AH90" s="10">
        <f t="shared" si="19"/>
        <v>0</v>
      </c>
      <c r="AI90" s="10">
        <f t="shared" si="19"/>
        <v>0</v>
      </c>
      <c r="AJ90" s="10">
        <f t="shared" si="19"/>
        <v>0</v>
      </c>
      <c r="AK90" s="10">
        <f t="shared" si="19"/>
        <v>0</v>
      </c>
      <c r="AL90" s="10">
        <f t="shared" si="19"/>
        <v>0</v>
      </c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">
      <c r="A91" s="1">
        <v>1</v>
      </c>
      <c r="B91" s="1"/>
      <c r="C91" s="1"/>
      <c r="D91" s="1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12"/>
      <c r="U91" s="6"/>
      <c r="V91" s="6"/>
      <c r="W91" s="6"/>
      <c r="X91" s="6"/>
      <c r="Y91" s="6"/>
      <c r="Z91" s="6"/>
      <c r="AA91" s="6"/>
      <c r="AB91" s="6"/>
      <c r="AC91" s="6"/>
      <c r="AD91" s="12"/>
      <c r="AE91" s="6"/>
      <c r="AF91" s="6"/>
      <c r="AG91" s="6"/>
      <c r="AH91" s="6"/>
      <c r="AI91" s="6"/>
      <c r="AJ91" s="6"/>
      <c r="AK91" s="6"/>
      <c r="AL91" s="6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">
      <c r="A92" s="2">
        <f>A91+1</f>
        <v>2</v>
      </c>
      <c r="B92" s="2"/>
      <c r="C92" s="2"/>
      <c r="D92" s="2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13"/>
      <c r="U92" s="6"/>
      <c r="V92" s="6"/>
      <c r="W92" s="6"/>
      <c r="X92" s="6"/>
      <c r="Y92" s="6"/>
      <c r="Z92" s="6"/>
      <c r="AA92" s="6"/>
      <c r="AB92" s="6"/>
      <c r="AC92" s="6"/>
      <c r="AD92" s="12"/>
      <c r="AE92" s="6"/>
      <c r="AF92" s="6"/>
      <c r="AG92" s="6"/>
      <c r="AH92" s="6"/>
      <c r="AI92" s="6"/>
      <c r="AJ92" s="6"/>
      <c r="AK92" s="6"/>
      <c r="AL92" s="6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">
      <c r="A93" s="2">
        <f t="shared" ref="A93:A100" si="20">A92+1</f>
        <v>3</v>
      </c>
      <c r="B93" s="2"/>
      <c r="C93" s="2"/>
      <c r="D93" s="2"/>
      <c r="E93" s="7"/>
      <c r="F93" s="7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5"/>
      <c r="V93" s="2"/>
      <c r="W93" s="2"/>
      <c r="X93" s="2"/>
      <c r="Y93" s="2"/>
      <c r="Z93" s="2"/>
      <c r="AA93" s="2"/>
      <c r="AB93" s="2"/>
      <c r="AC93" s="2"/>
      <c r="AD93" s="4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</row>
    <row r="94" spans="1:49" x14ac:dyDescent="0.2">
      <c r="A94" s="2">
        <f t="shared" si="20"/>
        <v>4</v>
      </c>
      <c r="B94" s="1"/>
      <c r="C94" s="1"/>
      <c r="D94" s="1"/>
      <c r="E94" s="6"/>
      <c r="F94" s="6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">
      <c r="A95" s="2">
        <f t="shared" si="20"/>
        <v>5</v>
      </c>
      <c r="B95" s="1"/>
      <c r="C95" s="1"/>
      <c r="D95" s="1"/>
      <c r="E95" s="6"/>
      <c r="F95" s="6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">
      <c r="A96" s="2">
        <f t="shared" si="20"/>
        <v>6</v>
      </c>
      <c r="B96" s="1"/>
      <c r="C96" s="1"/>
      <c r="D96" s="1"/>
      <c r="E96" s="6"/>
      <c r="F96" s="6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">
      <c r="A97" s="2">
        <f t="shared" si="20"/>
        <v>7</v>
      </c>
      <c r="B97" s="1"/>
      <c r="C97" s="1"/>
      <c r="D97" s="1"/>
      <c r="E97" s="6"/>
      <c r="F97" s="6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">
      <c r="A98" s="2">
        <f t="shared" si="20"/>
        <v>8</v>
      </c>
      <c r="B98" s="1"/>
      <c r="C98" s="1"/>
      <c r="D98" s="1"/>
      <c r="E98" s="6"/>
      <c r="F98" s="6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">
      <c r="A99" s="2">
        <f t="shared" si="20"/>
        <v>9</v>
      </c>
      <c r="B99" s="1"/>
      <c r="C99" s="1"/>
      <c r="D99" s="1"/>
      <c r="E99" s="6"/>
      <c r="F99" s="6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">
      <c r="A100" s="2">
        <f t="shared" si="20"/>
        <v>10</v>
      </c>
      <c r="B100" s="1"/>
      <c r="C100" s="1"/>
      <c r="D100" s="1"/>
      <c r="E100" s="6"/>
      <c r="F100" s="6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">
      <c r="A101" s="83" t="s">
        <v>34</v>
      </c>
      <c r="B101" s="84"/>
      <c r="C101" s="84"/>
      <c r="D101" s="85"/>
      <c r="E101" s="8">
        <f t="shared" ref="E101:AL101" si="21">SUM(E91:E100)</f>
        <v>0</v>
      </c>
      <c r="F101" s="8">
        <f t="shared" si="21"/>
        <v>0</v>
      </c>
      <c r="G101" s="8">
        <f t="shared" si="21"/>
        <v>0</v>
      </c>
      <c r="H101" s="8">
        <f t="shared" si="21"/>
        <v>0</v>
      </c>
      <c r="I101" s="8">
        <f t="shared" si="21"/>
        <v>0</v>
      </c>
      <c r="J101" s="8">
        <f t="shared" si="21"/>
        <v>0</v>
      </c>
      <c r="K101" s="8">
        <f t="shared" si="21"/>
        <v>0</v>
      </c>
      <c r="L101" s="8">
        <f t="shared" si="21"/>
        <v>0</v>
      </c>
      <c r="M101" s="8">
        <f t="shared" si="21"/>
        <v>0</v>
      </c>
      <c r="N101" s="8">
        <f t="shared" si="21"/>
        <v>0</v>
      </c>
      <c r="O101" s="8">
        <f t="shared" si="21"/>
        <v>0</v>
      </c>
      <c r="P101" s="8">
        <f t="shared" si="21"/>
        <v>0</v>
      </c>
      <c r="Q101" s="8">
        <f t="shared" si="21"/>
        <v>0</v>
      </c>
      <c r="R101" s="8">
        <f t="shared" si="21"/>
        <v>0</v>
      </c>
      <c r="S101" s="8">
        <f t="shared" si="21"/>
        <v>0</v>
      </c>
      <c r="T101" s="9">
        <f t="shared" si="21"/>
        <v>0</v>
      </c>
      <c r="U101" s="8">
        <f t="shared" si="21"/>
        <v>0</v>
      </c>
      <c r="V101" s="8">
        <f t="shared" si="21"/>
        <v>0</v>
      </c>
      <c r="W101" s="8">
        <f t="shared" si="21"/>
        <v>0</v>
      </c>
      <c r="X101" s="8">
        <f t="shared" si="21"/>
        <v>0</v>
      </c>
      <c r="Y101" s="8">
        <f t="shared" si="21"/>
        <v>0</v>
      </c>
      <c r="Z101" s="8">
        <f t="shared" si="21"/>
        <v>0</v>
      </c>
      <c r="AA101" s="8">
        <f t="shared" si="21"/>
        <v>0</v>
      </c>
      <c r="AB101" s="8">
        <f t="shared" si="21"/>
        <v>0</v>
      </c>
      <c r="AC101" s="8">
        <f t="shared" si="21"/>
        <v>0</v>
      </c>
      <c r="AD101" s="9">
        <f t="shared" si="21"/>
        <v>0</v>
      </c>
      <c r="AE101" s="8">
        <f t="shared" si="21"/>
        <v>0</v>
      </c>
      <c r="AF101" s="8">
        <f t="shared" si="21"/>
        <v>0</v>
      </c>
      <c r="AG101" s="8">
        <f t="shared" si="21"/>
        <v>0</v>
      </c>
      <c r="AH101" s="8">
        <f t="shared" si="21"/>
        <v>0</v>
      </c>
      <c r="AI101" s="8">
        <f t="shared" si="21"/>
        <v>0</v>
      </c>
      <c r="AJ101" s="8">
        <f t="shared" si="21"/>
        <v>0</v>
      </c>
      <c r="AK101" s="8">
        <f t="shared" si="21"/>
        <v>0</v>
      </c>
      <c r="AL101" s="8">
        <f t="shared" si="21"/>
        <v>0</v>
      </c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">
      <c r="A102" s="1">
        <v>1</v>
      </c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">
      <c r="A103" s="1">
        <f>A102+1</f>
        <v>2</v>
      </c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">
      <c r="A104" s="1">
        <f t="shared" ref="A104:A110" si="22">A103+1</f>
        <v>3</v>
      </c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">
      <c r="A105" s="1">
        <f t="shared" si="22"/>
        <v>4</v>
      </c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">
      <c r="A106" s="1">
        <f t="shared" si="22"/>
        <v>5</v>
      </c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">
      <c r="A107" s="1">
        <f t="shared" si="22"/>
        <v>6</v>
      </c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">
      <c r="A108" s="1">
        <f t="shared" si="22"/>
        <v>7</v>
      </c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">
      <c r="A109" s="1">
        <f t="shared" si="22"/>
        <v>8</v>
      </c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">
      <c r="A110" s="1">
        <f t="shared" si="22"/>
        <v>9</v>
      </c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">
      <c r="A111" s="1">
        <f>A110+1</f>
        <v>10</v>
      </c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">
      <c r="A112" s="83" t="s">
        <v>31</v>
      </c>
      <c r="B112" s="84"/>
      <c r="C112" s="84"/>
      <c r="D112" s="85"/>
      <c r="E112" s="8">
        <f t="shared" ref="E112:AL112" si="23">SUM(E102:E111)</f>
        <v>0</v>
      </c>
      <c r="F112" s="8">
        <f t="shared" si="23"/>
        <v>0</v>
      </c>
      <c r="G112" s="8">
        <f t="shared" si="23"/>
        <v>0</v>
      </c>
      <c r="H112" s="8">
        <f t="shared" si="23"/>
        <v>0</v>
      </c>
      <c r="I112" s="8">
        <f t="shared" si="23"/>
        <v>0</v>
      </c>
      <c r="J112" s="8">
        <f t="shared" si="23"/>
        <v>0</v>
      </c>
      <c r="K112" s="8">
        <f t="shared" si="23"/>
        <v>0</v>
      </c>
      <c r="L112" s="8">
        <f t="shared" si="23"/>
        <v>0</v>
      </c>
      <c r="M112" s="8">
        <f t="shared" si="23"/>
        <v>0</v>
      </c>
      <c r="N112" s="8">
        <f t="shared" si="23"/>
        <v>0</v>
      </c>
      <c r="O112" s="8">
        <f t="shared" si="23"/>
        <v>0</v>
      </c>
      <c r="P112" s="8">
        <f t="shared" si="23"/>
        <v>0</v>
      </c>
      <c r="Q112" s="8">
        <f t="shared" si="23"/>
        <v>0</v>
      </c>
      <c r="R112" s="8">
        <f t="shared" si="23"/>
        <v>0</v>
      </c>
      <c r="S112" s="8">
        <f t="shared" si="23"/>
        <v>0</v>
      </c>
      <c r="T112" s="9">
        <f t="shared" si="23"/>
        <v>0</v>
      </c>
      <c r="U112" s="8">
        <f t="shared" si="23"/>
        <v>0</v>
      </c>
      <c r="V112" s="8">
        <f t="shared" si="23"/>
        <v>0</v>
      </c>
      <c r="W112" s="8">
        <f t="shared" si="23"/>
        <v>0</v>
      </c>
      <c r="X112" s="8">
        <f t="shared" si="23"/>
        <v>0</v>
      </c>
      <c r="Y112" s="8">
        <f t="shared" si="23"/>
        <v>0</v>
      </c>
      <c r="Z112" s="8">
        <f t="shared" si="23"/>
        <v>0</v>
      </c>
      <c r="AA112" s="8">
        <f t="shared" si="23"/>
        <v>0</v>
      </c>
      <c r="AB112" s="8">
        <f t="shared" si="23"/>
        <v>0</v>
      </c>
      <c r="AC112" s="8">
        <f t="shared" si="23"/>
        <v>0</v>
      </c>
      <c r="AD112" s="9">
        <f t="shared" si="23"/>
        <v>0</v>
      </c>
      <c r="AE112" s="8">
        <f t="shared" si="23"/>
        <v>0</v>
      </c>
      <c r="AF112" s="8">
        <f t="shared" si="23"/>
        <v>0</v>
      </c>
      <c r="AG112" s="8">
        <f t="shared" si="23"/>
        <v>0</v>
      </c>
      <c r="AH112" s="8">
        <f t="shared" si="23"/>
        <v>0</v>
      </c>
      <c r="AI112" s="8">
        <f t="shared" si="23"/>
        <v>0</v>
      </c>
      <c r="AJ112" s="8">
        <f t="shared" si="23"/>
        <v>0</v>
      </c>
      <c r="AK112" s="8">
        <f t="shared" si="23"/>
        <v>0</v>
      </c>
      <c r="AL112" s="8">
        <f t="shared" si="23"/>
        <v>0</v>
      </c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">
      <c r="A113" s="1">
        <v>1</v>
      </c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">
      <c r="A114" s="1">
        <f>A113+1</f>
        <v>2</v>
      </c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">
      <c r="A115" s="1">
        <f t="shared" ref="A115:A122" si="24">A114+1</f>
        <v>3</v>
      </c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">
      <c r="A116" s="1">
        <f t="shared" si="24"/>
        <v>4</v>
      </c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">
      <c r="A117" s="1">
        <f t="shared" si="24"/>
        <v>5</v>
      </c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">
      <c r="A118" s="1">
        <f t="shared" si="24"/>
        <v>6</v>
      </c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">
      <c r="A119" s="1">
        <f t="shared" si="24"/>
        <v>7</v>
      </c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">
      <c r="A120" s="1">
        <f t="shared" si="24"/>
        <v>8</v>
      </c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">
      <c r="A121" s="1">
        <f>A120+1</f>
        <v>9</v>
      </c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">
      <c r="A122" s="1">
        <f t="shared" si="24"/>
        <v>10</v>
      </c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">
      <c r="A123" s="83" t="s">
        <v>32</v>
      </c>
      <c r="B123" s="84"/>
      <c r="C123" s="84"/>
      <c r="D123" s="85"/>
      <c r="E123" s="8">
        <f t="shared" ref="E123:AL123" si="25">SUM(E113:E122)</f>
        <v>0</v>
      </c>
      <c r="F123" s="8">
        <f t="shared" si="25"/>
        <v>0</v>
      </c>
      <c r="G123" s="8">
        <f t="shared" si="25"/>
        <v>0</v>
      </c>
      <c r="H123" s="8">
        <f t="shared" si="25"/>
        <v>0</v>
      </c>
      <c r="I123" s="8">
        <f t="shared" si="25"/>
        <v>0</v>
      </c>
      <c r="J123" s="8">
        <f t="shared" si="25"/>
        <v>0</v>
      </c>
      <c r="K123" s="8">
        <f t="shared" si="25"/>
        <v>0</v>
      </c>
      <c r="L123" s="8">
        <f t="shared" si="25"/>
        <v>0</v>
      </c>
      <c r="M123" s="8">
        <f t="shared" si="25"/>
        <v>0</v>
      </c>
      <c r="N123" s="8">
        <f t="shared" si="25"/>
        <v>0</v>
      </c>
      <c r="O123" s="8">
        <f t="shared" si="25"/>
        <v>0</v>
      </c>
      <c r="P123" s="8">
        <f t="shared" si="25"/>
        <v>0</v>
      </c>
      <c r="Q123" s="8">
        <f t="shared" si="25"/>
        <v>0</v>
      </c>
      <c r="R123" s="8">
        <f t="shared" si="25"/>
        <v>0</v>
      </c>
      <c r="S123" s="8">
        <f t="shared" si="25"/>
        <v>0</v>
      </c>
      <c r="T123" s="9">
        <f t="shared" si="25"/>
        <v>0</v>
      </c>
      <c r="U123" s="8">
        <f t="shared" si="25"/>
        <v>0</v>
      </c>
      <c r="V123" s="8">
        <f t="shared" si="25"/>
        <v>0</v>
      </c>
      <c r="W123" s="8">
        <f t="shared" si="25"/>
        <v>0</v>
      </c>
      <c r="X123" s="8">
        <f t="shared" si="25"/>
        <v>0</v>
      </c>
      <c r="Y123" s="8">
        <f t="shared" si="25"/>
        <v>0</v>
      </c>
      <c r="Z123" s="8">
        <f t="shared" si="25"/>
        <v>0</v>
      </c>
      <c r="AA123" s="8">
        <f t="shared" si="25"/>
        <v>0</v>
      </c>
      <c r="AB123" s="8">
        <f t="shared" si="25"/>
        <v>0</v>
      </c>
      <c r="AC123" s="8">
        <f t="shared" si="25"/>
        <v>0</v>
      </c>
      <c r="AD123" s="9">
        <f t="shared" si="25"/>
        <v>0</v>
      </c>
      <c r="AE123" s="8">
        <f t="shared" si="25"/>
        <v>0</v>
      </c>
      <c r="AF123" s="8">
        <f t="shared" si="25"/>
        <v>0</v>
      </c>
      <c r="AG123" s="8">
        <f t="shared" si="25"/>
        <v>0</v>
      </c>
      <c r="AH123" s="8">
        <f t="shared" si="25"/>
        <v>0</v>
      </c>
      <c r="AI123" s="8">
        <f t="shared" si="25"/>
        <v>0</v>
      </c>
      <c r="AJ123" s="8">
        <f t="shared" si="25"/>
        <v>0</v>
      </c>
      <c r="AK123" s="8">
        <f t="shared" si="25"/>
        <v>0</v>
      </c>
      <c r="AL123" s="8">
        <f t="shared" si="25"/>
        <v>0</v>
      </c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">
      <c r="A124" s="1">
        <v>1</v>
      </c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">
      <c r="A125" s="1">
        <f>A124+1</f>
        <v>2</v>
      </c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">
      <c r="A126" s="1">
        <f t="shared" ref="A126:A133" si="26">A125+1</f>
        <v>3</v>
      </c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">
      <c r="A127" s="1">
        <f t="shared" si="26"/>
        <v>4</v>
      </c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">
      <c r="A128" s="1">
        <f t="shared" si="26"/>
        <v>5</v>
      </c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">
      <c r="A129" s="1">
        <f t="shared" si="26"/>
        <v>6</v>
      </c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">
      <c r="A130" s="1">
        <f t="shared" si="26"/>
        <v>7</v>
      </c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">
      <c r="A131" s="1">
        <f t="shared" si="26"/>
        <v>8</v>
      </c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">
      <c r="A132" s="1">
        <f t="shared" si="26"/>
        <v>9</v>
      </c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">
      <c r="A133" s="1">
        <f t="shared" si="26"/>
        <v>10</v>
      </c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">
      <c r="A134" s="83" t="s">
        <v>33</v>
      </c>
      <c r="B134" s="84"/>
      <c r="C134" s="84"/>
      <c r="D134" s="85"/>
      <c r="E134" s="8">
        <f t="shared" ref="E134:AL134" si="27">SUM(E124:E133)</f>
        <v>0</v>
      </c>
      <c r="F134" s="8">
        <f t="shared" si="27"/>
        <v>0</v>
      </c>
      <c r="G134" s="8">
        <f t="shared" si="27"/>
        <v>0</v>
      </c>
      <c r="H134" s="8">
        <f t="shared" si="27"/>
        <v>0</v>
      </c>
      <c r="I134" s="8">
        <f t="shared" si="27"/>
        <v>0</v>
      </c>
      <c r="J134" s="8">
        <f t="shared" si="27"/>
        <v>0</v>
      </c>
      <c r="K134" s="8">
        <f t="shared" si="27"/>
        <v>0</v>
      </c>
      <c r="L134" s="8">
        <f t="shared" si="27"/>
        <v>0</v>
      </c>
      <c r="M134" s="8">
        <f t="shared" si="27"/>
        <v>0</v>
      </c>
      <c r="N134" s="8">
        <f t="shared" si="27"/>
        <v>0</v>
      </c>
      <c r="O134" s="8">
        <f t="shared" si="27"/>
        <v>0</v>
      </c>
      <c r="P134" s="8">
        <f t="shared" si="27"/>
        <v>0</v>
      </c>
      <c r="Q134" s="8">
        <f t="shared" si="27"/>
        <v>0</v>
      </c>
      <c r="R134" s="8">
        <f t="shared" si="27"/>
        <v>0</v>
      </c>
      <c r="S134" s="8">
        <f t="shared" si="27"/>
        <v>0</v>
      </c>
      <c r="T134" s="9">
        <f t="shared" si="27"/>
        <v>0</v>
      </c>
      <c r="U134" s="8">
        <f t="shared" si="27"/>
        <v>0</v>
      </c>
      <c r="V134" s="8">
        <f t="shared" si="27"/>
        <v>0</v>
      </c>
      <c r="W134" s="8">
        <f t="shared" si="27"/>
        <v>0</v>
      </c>
      <c r="X134" s="8">
        <f t="shared" si="27"/>
        <v>0</v>
      </c>
      <c r="Y134" s="8">
        <f t="shared" si="27"/>
        <v>0</v>
      </c>
      <c r="Z134" s="8">
        <f t="shared" si="27"/>
        <v>0</v>
      </c>
      <c r="AA134" s="8">
        <f t="shared" si="27"/>
        <v>0</v>
      </c>
      <c r="AB134" s="8">
        <f t="shared" si="27"/>
        <v>0</v>
      </c>
      <c r="AC134" s="8">
        <f t="shared" si="27"/>
        <v>0</v>
      </c>
      <c r="AD134" s="9">
        <f t="shared" si="27"/>
        <v>0</v>
      </c>
      <c r="AE134" s="8">
        <f t="shared" si="27"/>
        <v>0</v>
      </c>
      <c r="AF134" s="8">
        <f t="shared" si="27"/>
        <v>0</v>
      </c>
      <c r="AG134" s="8">
        <f t="shared" si="27"/>
        <v>0</v>
      </c>
      <c r="AH134" s="8">
        <f t="shared" si="27"/>
        <v>0</v>
      </c>
      <c r="AI134" s="8">
        <f t="shared" si="27"/>
        <v>0</v>
      </c>
      <c r="AJ134" s="8">
        <f t="shared" si="27"/>
        <v>0</v>
      </c>
      <c r="AK134" s="8">
        <f t="shared" si="27"/>
        <v>0</v>
      </c>
      <c r="AL134" s="8">
        <f t="shared" si="27"/>
        <v>0</v>
      </c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">
      <c r="A135" s="1"/>
      <c r="B135" s="1"/>
      <c r="C135" s="1"/>
      <c r="D135" s="1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">
      <c r="A136" s="1"/>
      <c r="B136" s="1"/>
      <c r="C136" s="1"/>
      <c r="D136" s="1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">
      <c r="A137" s="80" t="s">
        <v>35</v>
      </c>
      <c r="B137" s="81"/>
      <c r="C137" s="81"/>
      <c r="D137" s="82"/>
      <c r="E137" s="14">
        <f t="shared" ref="E137:AL137" si="28">E13+E24+E35+E46+E57+E68+E79+E90+E101+E112+E123+E134</f>
        <v>720425</v>
      </c>
      <c r="F137" s="14">
        <f t="shared" si="28"/>
        <v>720425</v>
      </c>
      <c r="G137" s="14">
        <f t="shared" si="28"/>
        <v>423235</v>
      </c>
      <c r="H137" s="14">
        <f t="shared" si="28"/>
        <v>41000</v>
      </c>
      <c r="I137" s="14">
        <f t="shared" si="28"/>
        <v>0</v>
      </c>
      <c r="J137" s="14">
        <f t="shared" si="28"/>
        <v>60000</v>
      </c>
      <c r="K137" s="14">
        <f t="shared" si="28"/>
        <v>163590</v>
      </c>
      <c r="L137" s="14">
        <f t="shared" si="28"/>
        <v>0</v>
      </c>
      <c r="M137" s="14">
        <f t="shared" si="28"/>
        <v>0</v>
      </c>
      <c r="N137" s="14">
        <f t="shared" si="28"/>
        <v>0</v>
      </c>
      <c r="O137" s="14">
        <f t="shared" si="28"/>
        <v>0</v>
      </c>
      <c r="P137" s="14">
        <f t="shared" si="28"/>
        <v>0</v>
      </c>
      <c r="Q137" s="14">
        <f t="shared" si="28"/>
        <v>0</v>
      </c>
      <c r="R137" s="14">
        <f t="shared" si="28"/>
        <v>0</v>
      </c>
      <c r="S137" s="14">
        <f t="shared" si="28"/>
        <v>0</v>
      </c>
      <c r="T137" s="14">
        <f t="shared" si="28"/>
        <v>343535</v>
      </c>
      <c r="U137" s="14">
        <f t="shared" si="28"/>
        <v>0</v>
      </c>
      <c r="V137" s="14">
        <f t="shared" si="28"/>
        <v>0</v>
      </c>
      <c r="W137" s="14">
        <f t="shared" si="28"/>
        <v>41000</v>
      </c>
      <c r="X137" s="14">
        <f t="shared" si="28"/>
        <v>163590</v>
      </c>
      <c r="Y137" s="14">
        <f t="shared" si="28"/>
        <v>0</v>
      </c>
      <c r="Z137" s="14">
        <f t="shared" si="28"/>
        <v>79700</v>
      </c>
      <c r="AA137" s="14">
        <f t="shared" si="28"/>
        <v>0</v>
      </c>
      <c r="AB137" s="14">
        <f t="shared" si="28"/>
        <v>0</v>
      </c>
      <c r="AC137" s="14">
        <f t="shared" si="28"/>
        <v>60000</v>
      </c>
      <c r="AD137" s="14">
        <f t="shared" si="28"/>
        <v>2600</v>
      </c>
      <c r="AE137" s="14">
        <f t="shared" si="28"/>
        <v>2600</v>
      </c>
      <c r="AF137" s="14">
        <f t="shared" si="28"/>
        <v>0</v>
      </c>
      <c r="AG137" s="14">
        <f t="shared" si="28"/>
        <v>0</v>
      </c>
      <c r="AH137" s="14">
        <f t="shared" si="28"/>
        <v>0</v>
      </c>
      <c r="AI137" s="14">
        <f t="shared" si="28"/>
        <v>30000</v>
      </c>
      <c r="AJ137" s="14">
        <f t="shared" si="28"/>
        <v>0</v>
      </c>
      <c r="AK137" s="14">
        <f t="shared" si="28"/>
        <v>0</v>
      </c>
      <c r="AL137" s="14">
        <f t="shared" si="28"/>
        <v>30000</v>
      </c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</sheetData>
  <mergeCells count="31">
    <mergeCell ref="M1:N1"/>
    <mergeCell ref="A1:D1"/>
    <mergeCell ref="E1:F1"/>
    <mergeCell ref="A13:D13"/>
    <mergeCell ref="A24:D24"/>
    <mergeCell ref="A57:D57"/>
    <mergeCell ref="A68:D68"/>
    <mergeCell ref="G1:H1"/>
    <mergeCell ref="I1:J1"/>
    <mergeCell ref="K1:L1"/>
    <mergeCell ref="A35:D35"/>
    <mergeCell ref="A46:D46"/>
    <mergeCell ref="AK1:AL1"/>
    <mergeCell ref="O1:P1"/>
    <mergeCell ref="Q1:R1"/>
    <mergeCell ref="S1:T1"/>
    <mergeCell ref="U1:V1"/>
    <mergeCell ref="W1:X1"/>
    <mergeCell ref="Y1:Z1"/>
    <mergeCell ref="AA1:AB1"/>
    <mergeCell ref="AC1:AD1"/>
    <mergeCell ref="AE1:AF1"/>
    <mergeCell ref="AG1:AH1"/>
    <mergeCell ref="AI1:AJ1"/>
    <mergeCell ref="A137:D137"/>
    <mergeCell ref="A79:D79"/>
    <mergeCell ref="A90:D90"/>
    <mergeCell ref="A101:D101"/>
    <mergeCell ref="A112:D112"/>
    <mergeCell ref="A123:D123"/>
    <mergeCell ref="A134:D13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FF226-FAE1-AF44-9E7D-919FE55587D7}">
  <dimension ref="A1:G27"/>
  <sheetViews>
    <sheetView rightToLeft="1" tabSelected="1" topLeftCell="A14" zoomScale="103" zoomScaleNormal="150" zoomScaleSheetLayoutView="100" workbookViewId="0">
      <selection activeCell="E25" sqref="E25"/>
    </sheetView>
  </sheetViews>
  <sheetFormatPr defaultRowHeight="15" x14ac:dyDescent="0.2"/>
  <cols>
    <col min="1" max="1" width="20.58203125" customWidth="1"/>
    <col min="2" max="3" width="11.43359375" bestFit="1" customWidth="1"/>
    <col min="4" max="5" width="9.81640625" bestFit="1" customWidth="1"/>
    <col min="6" max="7" width="11.43359375" bestFit="1" customWidth="1"/>
  </cols>
  <sheetData>
    <row r="1" spans="1:7" x14ac:dyDescent="0.2">
      <c r="A1" s="89" t="s">
        <v>67</v>
      </c>
      <c r="B1" s="89"/>
      <c r="C1" s="89"/>
      <c r="D1" s="89"/>
      <c r="E1" s="89"/>
      <c r="F1" s="89"/>
      <c r="G1" s="89"/>
    </row>
    <row r="2" spans="1:7" x14ac:dyDescent="0.2">
      <c r="A2" s="89"/>
      <c r="B2" s="89"/>
      <c r="C2" s="89"/>
      <c r="D2" s="89"/>
      <c r="E2" s="89"/>
      <c r="F2" s="89"/>
      <c r="G2" s="89"/>
    </row>
    <row r="3" spans="1:7" x14ac:dyDescent="0.2">
      <c r="A3" s="90" t="s">
        <v>2</v>
      </c>
      <c r="B3" s="91" t="s">
        <v>68</v>
      </c>
      <c r="C3" s="91"/>
      <c r="D3" s="91" t="s">
        <v>69</v>
      </c>
      <c r="E3" s="91"/>
      <c r="F3" s="91" t="s">
        <v>70</v>
      </c>
      <c r="G3" s="91"/>
    </row>
    <row r="4" spans="1:7" x14ac:dyDescent="0.2">
      <c r="A4" s="90"/>
      <c r="B4" s="27" t="s">
        <v>4</v>
      </c>
      <c r="C4" s="27" t="s">
        <v>5</v>
      </c>
      <c r="D4" s="27" t="s">
        <v>21</v>
      </c>
      <c r="E4" s="27" t="s">
        <v>71</v>
      </c>
      <c r="F4" s="27" t="s">
        <v>4</v>
      </c>
      <c r="G4" s="27" t="s">
        <v>71</v>
      </c>
    </row>
    <row r="5" spans="1:7" x14ac:dyDescent="0.2">
      <c r="A5" s="61" t="s">
        <v>72</v>
      </c>
      <c r="B5" s="29">
        <f>السؤال!B3</f>
        <v>200000</v>
      </c>
      <c r="C5" s="29"/>
      <c r="D5" s="29"/>
      <c r="E5" s="29"/>
      <c r="F5" s="62">
        <f>B5+D5-E5</f>
        <v>200000</v>
      </c>
      <c r="G5" s="63"/>
    </row>
    <row r="6" spans="1:7" x14ac:dyDescent="0.2">
      <c r="A6" s="61" t="s">
        <v>12</v>
      </c>
      <c r="B6" s="29">
        <f>السؤال!B4</f>
        <v>5000</v>
      </c>
      <c r="C6" s="29"/>
      <c r="D6" s="29">
        <f>قيود!G137</f>
        <v>423235</v>
      </c>
      <c r="E6" s="29">
        <f>قيود!H137</f>
        <v>41000</v>
      </c>
      <c r="F6" s="62">
        <f t="shared" ref="F6:F10" si="0">B6+D6-E6</f>
        <v>387235</v>
      </c>
      <c r="G6" s="63"/>
    </row>
    <row r="7" spans="1:7" x14ac:dyDescent="0.2">
      <c r="A7" s="61" t="s">
        <v>13</v>
      </c>
      <c r="B7" s="29">
        <f>السؤال!B5</f>
        <v>1000000</v>
      </c>
      <c r="C7" s="29"/>
      <c r="D7" s="29">
        <f>قيود!I137</f>
        <v>0</v>
      </c>
      <c r="E7" s="29">
        <f>قيود!J137</f>
        <v>60000</v>
      </c>
      <c r="F7" s="62">
        <f t="shared" si="0"/>
        <v>940000</v>
      </c>
      <c r="G7" s="63"/>
    </row>
    <row r="8" spans="1:7" x14ac:dyDescent="0.2">
      <c r="A8" s="61" t="s">
        <v>40</v>
      </c>
      <c r="B8" s="29">
        <f>السؤال!B6</f>
        <v>10000</v>
      </c>
      <c r="C8" s="29"/>
      <c r="D8" s="29">
        <v>0</v>
      </c>
      <c r="E8" s="29">
        <v>0</v>
      </c>
      <c r="F8" s="62">
        <f t="shared" si="0"/>
        <v>10000</v>
      </c>
      <c r="G8" s="63"/>
    </row>
    <row r="9" spans="1:7" x14ac:dyDescent="0.2">
      <c r="A9" s="61" t="s">
        <v>22</v>
      </c>
      <c r="B9" s="29">
        <f>السؤال!B7</f>
        <v>100000</v>
      </c>
      <c r="C9" s="29"/>
      <c r="D9" s="29">
        <f>قيود!Y137</f>
        <v>0</v>
      </c>
      <c r="E9" s="29">
        <f>قيود!Z137</f>
        <v>79700</v>
      </c>
      <c r="F9" s="62">
        <f t="shared" si="0"/>
        <v>20300</v>
      </c>
      <c r="G9" s="63"/>
    </row>
    <row r="10" spans="1:7" x14ac:dyDescent="0.2">
      <c r="A10" s="61" t="s">
        <v>73</v>
      </c>
      <c r="B10" s="29">
        <f>السؤال!B8</f>
        <v>40000</v>
      </c>
      <c r="C10" s="29"/>
      <c r="D10" s="29"/>
      <c r="E10" s="29"/>
      <c r="F10" s="62">
        <f t="shared" si="0"/>
        <v>40000</v>
      </c>
      <c r="G10" s="63"/>
    </row>
    <row r="11" spans="1:7" x14ac:dyDescent="0.2">
      <c r="A11" s="61" t="s">
        <v>74</v>
      </c>
      <c r="B11" s="29"/>
      <c r="C11" s="29">
        <f>السؤال!B9</f>
        <v>1246000</v>
      </c>
      <c r="D11" s="29"/>
      <c r="E11" s="29"/>
      <c r="F11" s="62"/>
      <c r="G11" s="63">
        <v>1246000</v>
      </c>
    </row>
    <row r="12" spans="1:7" x14ac:dyDescent="0.2">
      <c r="A12" s="61" t="s">
        <v>75</v>
      </c>
      <c r="B12" s="29"/>
      <c r="C12" s="29">
        <f>السؤال!B10</f>
        <v>54000</v>
      </c>
      <c r="D12" s="29">
        <f>قيود!W137</f>
        <v>41000</v>
      </c>
      <c r="E12" s="29">
        <f>قيود!X137</f>
        <v>163590</v>
      </c>
      <c r="F12" s="62"/>
      <c r="G12" s="63">
        <f>C12+E12-D12</f>
        <v>176590</v>
      </c>
    </row>
    <row r="13" spans="1:7" x14ac:dyDescent="0.2">
      <c r="A13" s="61" t="s">
        <v>76</v>
      </c>
      <c r="B13" s="29"/>
      <c r="C13" s="29">
        <f>السؤال!B11</f>
        <v>10000</v>
      </c>
      <c r="D13" s="29"/>
      <c r="E13" s="29"/>
      <c r="F13" s="62"/>
      <c r="G13" s="63">
        <v>10000</v>
      </c>
    </row>
    <row r="14" spans="1:7" x14ac:dyDescent="0.2">
      <c r="A14" s="61" t="s">
        <v>44</v>
      </c>
      <c r="B14" s="29"/>
      <c r="C14" s="29">
        <f>السؤال!B12</f>
        <v>45000</v>
      </c>
      <c r="D14" s="29"/>
      <c r="E14" s="29"/>
      <c r="F14" s="62"/>
      <c r="G14" s="63">
        <v>45000</v>
      </c>
    </row>
    <row r="15" spans="1:7" x14ac:dyDescent="0.2">
      <c r="A15" s="61" t="s">
        <v>77</v>
      </c>
      <c r="B15" s="29"/>
      <c r="C15" s="29"/>
      <c r="D15" s="29">
        <f>قيود!K137</f>
        <v>163590</v>
      </c>
      <c r="E15" s="29">
        <f>قيود!L137</f>
        <v>0</v>
      </c>
      <c r="F15" s="62">
        <v>163590</v>
      </c>
      <c r="G15" s="63"/>
    </row>
    <row r="16" spans="1:7" x14ac:dyDescent="0.2">
      <c r="A16" s="61" t="s">
        <v>78</v>
      </c>
      <c r="B16" s="29"/>
      <c r="C16" s="29"/>
      <c r="D16" s="29"/>
      <c r="E16" s="29"/>
      <c r="F16" s="62"/>
      <c r="G16" s="63"/>
    </row>
    <row r="17" spans="1:7" x14ac:dyDescent="0.2">
      <c r="A17" s="61" t="s">
        <v>18</v>
      </c>
      <c r="B17" s="29"/>
      <c r="C17" s="29"/>
      <c r="D17" s="29"/>
      <c r="E17" s="29">
        <f>قيود!T137</f>
        <v>343535</v>
      </c>
      <c r="F17" s="62"/>
      <c r="G17" s="63">
        <v>343535</v>
      </c>
    </row>
    <row r="18" spans="1:7" x14ac:dyDescent="0.2">
      <c r="A18" s="61" t="s">
        <v>15</v>
      </c>
      <c r="B18" s="29"/>
      <c r="C18" s="29"/>
      <c r="D18" s="29"/>
      <c r="E18" s="29"/>
      <c r="F18" s="62"/>
      <c r="G18" s="63"/>
    </row>
    <row r="19" spans="1:7" x14ac:dyDescent="0.2">
      <c r="A19" s="61" t="s">
        <v>79</v>
      </c>
      <c r="B19" s="29"/>
      <c r="C19" s="29"/>
      <c r="D19" s="29"/>
      <c r="E19" s="29"/>
      <c r="F19" s="62"/>
      <c r="G19" s="63"/>
    </row>
    <row r="20" spans="1:7" x14ac:dyDescent="0.2">
      <c r="A20" s="61" t="s">
        <v>80</v>
      </c>
      <c r="B20" s="29"/>
      <c r="C20" s="29"/>
      <c r="D20" s="29"/>
      <c r="E20" s="29"/>
      <c r="F20" s="62"/>
      <c r="G20" s="63"/>
    </row>
    <row r="21" spans="1:7" x14ac:dyDescent="0.2">
      <c r="A21" s="61" t="s">
        <v>81</v>
      </c>
      <c r="B21" s="29"/>
      <c r="C21" s="29"/>
      <c r="D21" s="29"/>
      <c r="E21" s="29"/>
      <c r="F21" s="62"/>
      <c r="G21" s="63"/>
    </row>
    <row r="22" spans="1:7" x14ac:dyDescent="0.2">
      <c r="A22" s="61" t="s">
        <v>82</v>
      </c>
      <c r="B22" s="29"/>
      <c r="C22" s="29"/>
      <c r="D22" s="29">
        <f>قيود!AC137</f>
        <v>60000</v>
      </c>
      <c r="E22" s="29">
        <f>قيود!AD137</f>
        <v>2600</v>
      </c>
      <c r="F22" s="62">
        <f>D22-E22</f>
        <v>57400</v>
      </c>
      <c r="G22" s="63"/>
    </row>
    <row r="23" spans="1:7" x14ac:dyDescent="0.2">
      <c r="A23" s="61" t="s">
        <v>83</v>
      </c>
      <c r="B23" s="29"/>
      <c r="C23" s="29"/>
      <c r="D23" s="29">
        <v>2600</v>
      </c>
      <c r="E23" s="29"/>
      <c r="F23" s="62">
        <v>2600</v>
      </c>
      <c r="G23" s="63"/>
    </row>
    <row r="24" spans="1:7" x14ac:dyDescent="0.2">
      <c r="A24" s="61" t="s">
        <v>27</v>
      </c>
      <c r="B24" s="29"/>
      <c r="C24" s="29"/>
      <c r="D24" s="29">
        <v>30000</v>
      </c>
      <c r="E24" s="29"/>
      <c r="F24" s="62">
        <v>30000</v>
      </c>
      <c r="G24" s="63"/>
    </row>
    <row r="25" spans="1:7" x14ac:dyDescent="0.2">
      <c r="A25" s="61" t="s">
        <v>28</v>
      </c>
      <c r="B25" s="29"/>
      <c r="C25" s="29"/>
      <c r="D25" s="29"/>
      <c r="E25" s="29">
        <v>30000</v>
      </c>
      <c r="F25" s="62"/>
      <c r="G25" s="63">
        <v>30000</v>
      </c>
    </row>
    <row r="26" spans="1:7" x14ac:dyDescent="0.2">
      <c r="A26" s="61" t="s">
        <v>19</v>
      </c>
      <c r="B26" s="29"/>
      <c r="C26" s="29"/>
      <c r="D26" s="29"/>
      <c r="E26" s="29"/>
      <c r="F26" s="62"/>
      <c r="G26" s="63"/>
    </row>
    <row r="27" spans="1:7" x14ac:dyDescent="0.2">
      <c r="A27" s="28" t="s">
        <v>3</v>
      </c>
      <c r="B27" s="30">
        <f>SUM(B5:B26)</f>
        <v>1355000</v>
      </c>
      <c r="C27" s="30">
        <f t="shared" ref="C27:G27" si="1">SUM(C5:C26)</f>
        <v>1355000</v>
      </c>
      <c r="D27" s="30">
        <f t="shared" si="1"/>
        <v>720425</v>
      </c>
      <c r="E27" s="30">
        <f t="shared" si="1"/>
        <v>720425</v>
      </c>
      <c r="F27" s="30">
        <f t="shared" si="1"/>
        <v>1851125</v>
      </c>
      <c r="G27" s="30">
        <f t="shared" si="1"/>
        <v>1851125</v>
      </c>
    </row>
  </sheetData>
  <mergeCells count="5">
    <mergeCell ref="A1:G2"/>
    <mergeCell ref="A3:A4"/>
    <mergeCell ref="B3:C3"/>
    <mergeCell ref="D3:E3"/>
    <mergeCell ref="F3:G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4F81C-C388-0C4A-9710-9FCFA248CDA0}">
  <dimension ref="A1:B65"/>
  <sheetViews>
    <sheetView rightToLeft="1" zoomScaleNormal="150" zoomScaleSheetLayoutView="100" workbookViewId="0">
      <selection activeCell="B50" sqref="B50"/>
    </sheetView>
  </sheetViews>
  <sheetFormatPr defaultRowHeight="15" x14ac:dyDescent="0.2"/>
  <cols>
    <col min="1" max="1" width="31.20703125" customWidth="1"/>
    <col min="2" max="2" width="35.37890625" customWidth="1"/>
  </cols>
  <sheetData>
    <row r="1" spans="1:2" x14ac:dyDescent="0.2">
      <c r="A1" s="93" t="s">
        <v>85</v>
      </c>
      <c r="B1" s="93"/>
    </row>
    <row r="2" spans="1:2" x14ac:dyDescent="0.2">
      <c r="A2" s="94" t="s">
        <v>86</v>
      </c>
      <c r="B2" s="94"/>
    </row>
    <row r="3" spans="1:2" x14ac:dyDescent="0.2">
      <c r="A3" s="24" t="s">
        <v>2</v>
      </c>
      <c r="B3" s="24" t="s">
        <v>101</v>
      </c>
    </row>
    <row r="4" spans="1:2" x14ac:dyDescent="0.2">
      <c r="A4" s="1" t="s">
        <v>45</v>
      </c>
      <c r="B4" s="1">
        <v>5000</v>
      </c>
    </row>
    <row r="5" spans="1:2" x14ac:dyDescent="0.2">
      <c r="A5" s="1" t="s">
        <v>46</v>
      </c>
      <c r="B5" s="1">
        <v>5000</v>
      </c>
    </row>
    <row r="6" spans="1:2" x14ac:dyDescent="0.2">
      <c r="A6" s="1" t="s">
        <v>47</v>
      </c>
      <c r="B6" s="1">
        <v>5000</v>
      </c>
    </row>
    <row r="7" spans="1:2" x14ac:dyDescent="0.2">
      <c r="A7" s="1" t="s">
        <v>48</v>
      </c>
      <c r="B7" s="1">
        <v>5000</v>
      </c>
    </row>
    <row r="8" spans="1:2" x14ac:dyDescent="0.2">
      <c r="A8" s="8" t="s">
        <v>87</v>
      </c>
      <c r="B8" s="8">
        <f>SUM(B4:B7)</f>
        <v>20000</v>
      </c>
    </row>
    <row r="9" spans="1:2" x14ac:dyDescent="0.2">
      <c r="A9" s="92" t="s">
        <v>88</v>
      </c>
      <c r="B9" s="92"/>
    </row>
    <row r="10" spans="1:2" x14ac:dyDescent="0.2">
      <c r="A10" s="24" t="s">
        <v>2</v>
      </c>
      <c r="B10" s="24" t="s">
        <v>101</v>
      </c>
    </row>
    <row r="11" spans="1:2" x14ac:dyDescent="0.2">
      <c r="A11" s="1" t="s">
        <v>89</v>
      </c>
      <c r="B11" s="1">
        <v>0</v>
      </c>
    </row>
    <row r="12" spans="1:2" x14ac:dyDescent="0.2">
      <c r="A12" s="1" t="s">
        <v>90</v>
      </c>
      <c r="B12" s="1">
        <v>0</v>
      </c>
    </row>
    <row r="13" spans="1:2" x14ac:dyDescent="0.2">
      <c r="A13" s="8" t="s">
        <v>3</v>
      </c>
      <c r="B13" s="8">
        <v>0</v>
      </c>
    </row>
    <row r="14" spans="1:2" x14ac:dyDescent="0.2">
      <c r="A14" s="92" t="s">
        <v>91</v>
      </c>
      <c r="B14" s="92"/>
    </row>
    <row r="15" spans="1:2" x14ac:dyDescent="0.2">
      <c r="A15" s="24" t="s">
        <v>92</v>
      </c>
      <c r="B15" s="24" t="s">
        <v>101</v>
      </c>
    </row>
    <row r="16" spans="1:2" x14ac:dyDescent="0.2">
      <c r="A16" s="1" t="s">
        <v>93</v>
      </c>
      <c r="B16" s="59">
        <f>'ميزان المراجعه'!F6</f>
        <v>387235</v>
      </c>
    </row>
    <row r="17" spans="1:2" x14ac:dyDescent="0.2">
      <c r="A17" s="1" t="s">
        <v>94</v>
      </c>
      <c r="B17" s="59">
        <f>'ميزان المراجعه'!F7</f>
        <v>940000</v>
      </c>
    </row>
    <row r="18" spans="1:2" x14ac:dyDescent="0.2">
      <c r="A18" s="8" t="s">
        <v>95</v>
      </c>
      <c r="B18" s="8">
        <f>SUM(B16+B17)</f>
        <v>1327235</v>
      </c>
    </row>
    <row r="19" spans="1:2" x14ac:dyDescent="0.2">
      <c r="A19" s="92" t="s">
        <v>96</v>
      </c>
      <c r="B19" s="92"/>
    </row>
    <row r="20" spans="1:2" x14ac:dyDescent="0.2">
      <c r="A20" s="24" t="s">
        <v>2</v>
      </c>
      <c r="B20" s="24" t="s">
        <v>101</v>
      </c>
    </row>
    <row r="21" spans="1:2" x14ac:dyDescent="0.2">
      <c r="A21" s="1" t="s">
        <v>97</v>
      </c>
      <c r="B21" s="1">
        <v>343535</v>
      </c>
    </row>
    <row r="22" spans="1:2" x14ac:dyDescent="0.2">
      <c r="A22" s="1" t="s">
        <v>98</v>
      </c>
      <c r="B22" s="1">
        <v>0</v>
      </c>
    </row>
    <row r="23" spans="1:2" x14ac:dyDescent="0.2">
      <c r="A23" s="1" t="s">
        <v>99</v>
      </c>
      <c r="B23" s="1">
        <v>0</v>
      </c>
    </row>
    <row r="24" spans="1:2" x14ac:dyDescent="0.2">
      <c r="A24" s="1" t="s">
        <v>100</v>
      </c>
      <c r="B24" s="1">
        <v>0</v>
      </c>
    </row>
    <row r="25" spans="1:2" x14ac:dyDescent="0.2">
      <c r="A25" s="8" t="s">
        <v>3</v>
      </c>
      <c r="B25" s="8">
        <f>SUM(B21)</f>
        <v>343535</v>
      </c>
    </row>
    <row r="26" spans="1:2" x14ac:dyDescent="0.2">
      <c r="A26" s="92" t="s">
        <v>105</v>
      </c>
      <c r="B26" s="92"/>
    </row>
    <row r="27" spans="1:2" x14ac:dyDescent="0.2">
      <c r="A27" s="24" t="s">
        <v>2</v>
      </c>
      <c r="B27" s="24"/>
    </row>
    <row r="28" spans="1:2" x14ac:dyDescent="0.2">
      <c r="A28" s="1" t="s">
        <v>106</v>
      </c>
      <c r="B28" s="1">
        <v>0</v>
      </c>
    </row>
    <row r="29" spans="1:2" x14ac:dyDescent="0.2">
      <c r="A29" s="1" t="s">
        <v>107</v>
      </c>
      <c r="B29" s="1">
        <v>0</v>
      </c>
    </row>
    <row r="30" spans="1:2" x14ac:dyDescent="0.2">
      <c r="A30" s="8" t="s">
        <v>3</v>
      </c>
      <c r="B30" s="8">
        <v>0</v>
      </c>
    </row>
    <row r="31" spans="1:2" x14ac:dyDescent="0.2">
      <c r="A31" s="92" t="s">
        <v>108</v>
      </c>
      <c r="B31" s="92"/>
    </row>
    <row r="32" spans="1:2" x14ac:dyDescent="0.2">
      <c r="A32" s="24" t="s">
        <v>2</v>
      </c>
      <c r="B32" s="24"/>
    </row>
    <row r="33" spans="1:2" x14ac:dyDescent="0.2">
      <c r="A33" s="1" t="s">
        <v>109</v>
      </c>
      <c r="B33" s="1">
        <v>0</v>
      </c>
    </row>
    <row r="34" spans="1:2" x14ac:dyDescent="0.2">
      <c r="A34" s="1" t="s">
        <v>110</v>
      </c>
      <c r="B34" s="1">
        <v>0</v>
      </c>
    </row>
    <row r="35" spans="1:2" x14ac:dyDescent="0.2">
      <c r="A35" s="8" t="s">
        <v>3</v>
      </c>
      <c r="B35" s="8">
        <v>0</v>
      </c>
    </row>
    <row r="36" spans="1:2" x14ac:dyDescent="0.2">
      <c r="A36" s="92" t="s">
        <v>111</v>
      </c>
      <c r="B36" s="92"/>
    </row>
    <row r="37" spans="1:2" x14ac:dyDescent="0.2">
      <c r="A37" s="1" t="s">
        <v>2</v>
      </c>
      <c r="B37" s="1">
        <v>0</v>
      </c>
    </row>
    <row r="38" spans="1:2" x14ac:dyDescent="0.2">
      <c r="A38" s="1" t="s">
        <v>111</v>
      </c>
      <c r="B38" s="1">
        <v>0</v>
      </c>
    </row>
    <row r="39" spans="1:2" x14ac:dyDescent="0.2">
      <c r="A39" s="1" t="s">
        <v>98</v>
      </c>
      <c r="B39" s="1">
        <v>0</v>
      </c>
    </row>
    <row r="40" spans="1:2" x14ac:dyDescent="0.2">
      <c r="A40" s="1" t="s">
        <v>23</v>
      </c>
      <c r="B40" s="1">
        <v>0</v>
      </c>
    </row>
    <row r="41" spans="1:2" x14ac:dyDescent="0.2">
      <c r="A41" s="8" t="s">
        <v>3</v>
      </c>
      <c r="B41" s="8">
        <v>0</v>
      </c>
    </row>
    <row r="42" spans="1:2" x14ac:dyDescent="0.2">
      <c r="A42" s="92" t="s">
        <v>112</v>
      </c>
      <c r="B42" s="92"/>
    </row>
    <row r="43" spans="1:2" x14ac:dyDescent="0.2">
      <c r="A43" s="24" t="s">
        <v>2</v>
      </c>
      <c r="B43" s="24"/>
    </row>
    <row r="44" spans="1:2" x14ac:dyDescent="0.2">
      <c r="A44" s="1" t="s">
        <v>73</v>
      </c>
      <c r="B44" s="1">
        <v>40000</v>
      </c>
    </row>
    <row r="45" spans="1:2" x14ac:dyDescent="0.2">
      <c r="A45" s="1" t="s">
        <v>113</v>
      </c>
      <c r="B45" s="1">
        <v>0</v>
      </c>
    </row>
    <row r="46" spans="1:2" x14ac:dyDescent="0.2">
      <c r="A46" s="1" t="s">
        <v>114</v>
      </c>
      <c r="B46" s="1">
        <v>0</v>
      </c>
    </row>
    <row r="47" spans="1:2" x14ac:dyDescent="0.2">
      <c r="A47" s="1" t="s">
        <v>115</v>
      </c>
      <c r="B47" s="1">
        <v>0</v>
      </c>
    </row>
    <row r="48" spans="1:2" x14ac:dyDescent="0.2">
      <c r="A48" s="1" t="s">
        <v>116</v>
      </c>
      <c r="B48" s="1">
        <v>0</v>
      </c>
    </row>
    <row r="49" spans="1:2" x14ac:dyDescent="0.2">
      <c r="A49" s="1" t="s">
        <v>117</v>
      </c>
      <c r="B49" s="59">
        <f>'ميزان المراجعه'!F22</f>
        <v>57400</v>
      </c>
    </row>
    <row r="50" spans="1:2" x14ac:dyDescent="0.2">
      <c r="A50" s="8" t="s">
        <v>3</v>
      </c>
      <c r="B50" s="8">
        <f>SUM(B44:B49)</f>
        <v>97400</v>
      </c>
    </row>
    <row r="51" spans="1:2" x14ac:dyDescent="0.2">
      <c r="A51" s="92" t="s">
        <v>118</v>
      </c>
      <c r="B51" s="92"/>
    </row>
    <row r="52" spans="1:2" x14ac:dyDescent="0.2">
      <c r="A52" s="24" t="s">
        <v>2</v>
      </c>
      <c r="B52" s="24"/>
    </row>
    <row r="53" spans="1:2" x14ac:dyDescent="0.2">
      <c r="A53" s="1" t="s">
        <v>119</v>
      </c>
      <c r="B53" s="1">
        <v>45000</v>
      </c>
    </row>
    <row r="54" spans="1:2" x14ac:dyDescent="0.2">
      <c r="A54" s="1" t="s">
        <v>120</v>
      </c>
      <c r="B54" s="1">
        <v>0</v>
      </c>
    </row>
    <row r="55" spans="1:2" x14ac:dyDescent="0.2">
      <c r="A55" s="1" t="s">
        <v>121</v>
      </c>
      <c r="B55" s="1">
        <v>0</v>
      </c>
    </row>
    <row r="56" spans="1:2" x14ac:dyDescent="0.2">
      <c r="A56" s="1" t="s">
        <v>122</v>
      </c>
      <c r="B56" s="1">
        <v>0</v>
      </c>
    </row>
    <row r="57" spans="1:2" x14ac:dyDescent="0.2">
      <c r="A57" s="8" t="s">
        <v>3</v>
      </c>
      <c r="B57" s="8">
        <f>SUM(B53:B56)</f>
        <v>45000</v>
      </c>
    </row>
    <row r="58" spans="1:2" x14ac:dyDescent="0.2">
      <c r="A58" s="92" t="s">
        <v>123</v>
      </c>
      <c r="B58" s="92"/>
    </row>
    <row r="59" spans="1:2" x14ac:dyDescent="0.2">
      <c r="A59" s="24" t="s">
        <v>2</v>
      </c>
      <c r="B59" s="24"/>
    </row>
    <row r="60" spans="1:2" x14ac:dyDescent="0.2">
      <c r="A60" s="1" t="s">
        <v>124</v>
      </c>
      <c r="B60" s="1">
        <v>0</v>
      </c>
    </row>
    <row r="61" spans="1:2" x14ac:dyDescent="0.2">
      <c r="A61" s="1" t="s">
        <v>125</v>
      </c>
      <c r="B61" s="1">
        <v>0</v>
      </c>
    </row>
    <row r="62" spans="1:2" x14ac:dyDescent="0.2">
      <c r="A62" s="1" t="s">
        <v>126</v>
      </c>
      <c r="B62" s="1">
        <v>0</v>
      </c>
    </row>
    <row r="63" spans="1:2" x14ac:dyDescent="0.2">
      <c r="A63" s="1" t="s">
        <v>127</v>
      </c>
      <c r="B63" s="1">
        <v>0</v>
      </c>
    </row>
    <row r="64" spans="1:2" x14ac:dyDescent="0.2">
      <c r="A64" s="1" t="s">
        <v>128</v>
      </c>
      <c r="B64" s="1">
        <v>0</v>
      </c>
    </row>
    <row r="65" spans="1:2" x14ac:dyDescent="0.2">
      <c r="A65" s="23" t="s">
        <v>3</v>
      </c>
      <c r="B65" s="23">
        <v>0</v>
      </c>
    </row>
  </sheetData>
  <mergeCells count="11">
    <mergeCell ref="A26:B26"/>
    <mergeCell ref="A1:B1"/>
    <mergeCell ref="A2:B2"/>
    <mergeCell ref="A9:B9"/>
    <mergeCell ref="A14:B14"/>
    <mergeCell ref="A19:B19"/>
    <mergeCell ref="A31:B31"/>
    <mergeCell ref="A36:B36"/>
    <mergeCell ref="A42:B42"/>
    <mergeCell ref="A51:B51"/>
    <mergeCell ref="A58:B5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609B1-4942-A643-AEC6-42BFB2EDB458}">
  <dimension ref="A1:L17"/>
  <sheetViews>
    <sheetView rightToLeft="1" zoomScaleNormal="150" zoomScaleSheetLayoutView="100" workbookViewId="0">
      <selection activeCell="B3" sqref="B3"/>
    </sheetView>
  </sheetViews>
  <sheetFormatPr defaultRowHeight="15" x14ac:dyDescent="0.2"/>
  <cols>
    <col min="1" max="1" width="25.15234375" style="31" customWidth="1"/>
    <col min="2" max="2" width="8.609375" style="31" bestFit="1" customWidth="1"/>
  </cols>
  <sheetData>
    <row r="1" spans="1:12" x14ac:dyDescent="0.2">
      <c r="A1" s="49" t="s">
        <v>129</v>
      </c>
      <c r="B1" s="45" t="s">
        <v>4</v>
      </c>
      <c r="C1" s="45" t="s">
        <v>5</v>
      </c>
      <c r="D1" s="42"/>
      <c r="E1" s="38"/>
      <c r="F1" s="38"/>
      <c r="G1" s="38"/>
      <c r="H1" s="38"/>
      <c r="I1" s="38"/>
    </row>
    <row r="2" spans="1:12" x14ac:dyDescent="0.2">
      <c r="A2" s="33" t="s">
        <v>18</v>
      </c>
      <c r="B2" s="46"/>
      <c r="C2" s="47">
        <f>قيود!T137</f>
        <v>343535</v>
      </c>
      <c r="D2" s="42"/>
      <c r="E2" s="38"/>
      <c r="F2" s="38"/>
      <c r="G2" s="38"/>
      <c r="H2" s="38"/>
      <c r="I2" s="38"/>
    </row>
    <row r="3" spans="1:12" x14ac:dyDescent="0.2">
      <c r="A3" s="33" t="s">
        <v>130</v>
      </c>
      <c r="B3" s="47">
        <v>30000</v>
      </c>
      <c r="C3" s="46"/>
      <c r="D3" s="42"/>
      <c r="E3" s="38"/>
      <c r="F3" s="38"/>
      <c r="G3" s="38"/>
      <c r="H3" s="38"/>
      <c r="I3" s="38"/>
    </row>
    <row r="4" spans="1:12" x14ac:dyDescent="0.2">
      <c r="A4" s="33" t="s">
        <v>131</v>
      </c>
      <c r="B4" s="46"/>
      <c r="C4" s="47">
        <f>C2-B3</f>
        <v>313535</v>
      </c>
      <c r="D4" s="42"/>
      <c r="E4" s="38"/>
      <c r="F4" s="38"/>
      <c r="G4" s="38"/>
      <c r="H4" s="38"/>
      <c r="I4" s="38"/>
    </row>
    <row r="5" spans="1:12" x14ac:dyDescent="0.2">
      <c r="A5" s="33" t="s">
        <v>132</v>
      </c>
      <c r="B5" s="46"/>
      <c r="C5" s="46"/>
      <c r="D5" s="42"/>
      <c r="E5" s="38"/>
      <c r="F5" s="38"/>
      <c r="G5" s="38"/>
      <c r="H5" s="38"/>
      <c r="I5" s="38"/>
    </row>
    <row r="6" spans="1:12" x14ac:dyDescent="0.2">
      <c r="A6" s="35" t="s">
        <v>133</v>
      </c>
      <c r="B6" s="46"/>
      <c r="C6" s="48">
        <f>C4</f>
        <v>313535</v>
      </c>
      <c r="D6" s="42"/>
      <c r="E6" s="38"/>
      <c r="F6" s="38"/>
      <c r="G6" s="38"/>
      <c r="H6" s="38"/>
      <c r="I6" s="38"/>
    </row>
    <row r="7" spans="1:12" x14ac:dyDescent="0.2">
      <c r="A7" s="43"/>
      <c r="B7" s="43"/>
      <c r="C7" s="44"/>
      <c r="D7" s="42"/>
      <c r="E7" s="38"/>
      <c r="F7" s="38"/>
      <c r="G7" s="38"/>
      <c r="H7" s="38"/>
      <c r="I7" s="38"/>
    </row>
    <row r="8" spans="1:12" x14ac:dyDescent="0.2">
      <c r="A8" s="37"/>
      <c r="B8" s="39"/>
      <c r="C8" s="38"/>
      <c r="D8" s="42"/>
      <c r="E8" s="38"/>
      <c r="F8" s="38"/>
      <c r="G8" s="38"/>
      <c r="H8" s="38"/>
      <c r="I8" s="38"/>
    </row>
    <row r="9" spans="1:12" x14ac:dyDescent="0.2">
      <c r="A9" s="40"/>
      <c r="B9" s="40"/>
      <c r="C9" s="38"/>
      <c r="D9" s="38"/>
      <c r="E9" s="38"/>
      <c r="F9" s="38"/>
      <c r="G9" s="38"/>
      <c r="H9" s="38"/>
      <c r="I9" s="38"/>
    </row>
    <row r="10" spans="1:12" x14ac:dyDescent="0.2">
      <c r="A10" s="50"/>
      <c r="B10" s="41"/>
      <c r="C10" s="41"/>
      <c r="D10" s="38"/>
      <c r="E10" s="38"/>
      <c r="F10" s="38"/>
      <c r="G10" s="38"/>
      <c r="H10" s="38"/>
      <c r="I10" s="38"/>
    </row>
    <row r="11" spans="1:12" x14ac:dyDescent="0.2">
      <c r="A11" s="50"/>
      <c r="B11" s="41"/>
      <c r="C11" s="41"/>
      <c r="D11" s="38"/>
      <c r="E11" s="38"/>
      <c r="F11" s="38"/>
      <c r="G11" s="38"/>
      <c r="H11" s="38"/>
      <c r="I11" s="38"/>
    </row>
    <row r="12" spans="1:12" x14ac:dyDescent="0.2">
      <c r="A12" s="50"/>
      <c r="B12" s="41"/>
      <c r="C12" s="41"/>
      <c r="D12" s="41"/>
      <c r="E12" s="41"/>
      <c r="F12" s="41"/>
      <c r="G12" s="41"/>
      <c r="H12" s="41"/>
      <c r="I12" s="41"/>
      <c r="J12" s="32"/>
      <c r="K12" s="32"/>
      <c r="L12" s="32"/>
    </row>
    <row r="13" spans="1:12" x14ac:dyDescent="0.2">
      <c r="A13" s="50"/>
      <c r="B13" s="41"/>
      <c r="C13" s="41"/>
      <c r="D13" s="41"/>
      <c r="E13" s="41"/>
      <c r="F13" s="41"/>
      <c r="G13" s="41"/>
      <c r="H13" s="41"/>
      <c r="I13" s="41"/>
      <c r="J13" s="32"/>
      <c r="K13" s="32"/>
      <c r="L13" s="32"/>
    </row>
    <row r="14" spans="1:12" x14ac:dyDescent="0.2">
      <c r="A14" s="50"/>
      <c r="B14" s="41"/>
      <c r="C14" s="41"/>
      <c r="D14" s="41"/>
      <c r="E14" s="41"/>
      <c r="F14" s="41"/>
      <c r="G14" s="41"/>
      <c r="H14" s="41"/>
      <c r="I14" s="41"/>
      <c r="J14" s="32"/>
      <c r="K14" s="32"/>
      <c r="L14" s="32"/>
    </row>
    <row r="15" spans="1:12" x14ac:dyDescent="0.2">
      <c r="A15" s="40"/>
      <c r="B15" s="40"/>
      <c r="C15" s="38"/>
      <c r="D15" s="41"/>
      <c r="E15" s="41"/>
      <c r="F15" s="41"/>
      <c r="G15" s="41"/>
      <c r="H15" s="41"/>
      <c r="I15" s="41"/>
      <c r="J15" s="32"/>
      <c r="K15" s="32"/>
      <c r="L15" s="32"/>
    </row>
    <row r="16" spans="1:12" x14ac:dyDescent="0.2">
      <c r="D16" s="41"/>
      <c r="E16" s="41"/>
      <c r="F16" s="41"/>
      <c r="G16" s="41"/>
      <c r="H16" s="41"/>
      <c r="I16" s="41"/>
      <c r="J16" s="32"/>
      <c r="K16" s="32"/>
      <c r="L16" s="32"/>
    </row>
    <row r="17" spans="4:9" x14ac:dyDescent="0.2">
      <c r="D17" s="38"/>
      <c r="E17" s="38"/>
      <c r="F17" s="38"/>
      <c r="G17" s="38"/>
      <c r="H17" s="38"/>
      <c r="I17" s="3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4F24F-5321-7240-B6B7-B5940CE9A074}">
  <dimension ref="A1:G13"/>
  <sheetViews>
    <sheetView rightToLeft="1" zoomScaleNormal="150" zoomScaleSheetLayoutView="100" workbookViewId="0">
      <selection activeCell="E7" sqref="E7"/>
    </sheetView>
  </sheetViews>
  <sheetFormatPr defaultRowHeight="15" x14ac:dyDescent="0.2"/>
  <cols>
    <col min="1" max="1" width="23.67578125" style="31" bestFit="1" customWidth="1"/>
    <col min="2" max="2" width="8.875" style="31" bestFit="1" customWidth="1"/>
    <col min="3" max="3" width="9.01171875" style="31"/>
    <col min="4" max="4" width="20.58203125" style="31" bestFit="1" customWidth="1"/>
    <col min="5" max="5" width="8.875" style="31" bestFit="1" customWidth="1"/>
  </cols>
  <sheetData>
    <row r="1" spans="1:7" x14ac:dyDescent="0.2">
      <c r="A1" s="51" t="s">
        <v>129</v>
      </c>
      <c r="B1" s="51" t="s">
        <v>135</v>
      </c>
      <c r="C1" s="36"/>
      <c r="D1" s="95" t="s">
        <v>129</v>
      </c>
      <c r="E1" s="95" t="s">
        <v>135</v>
      </c>
    </row>
    <row r="2" spans="1:7" ht="14.25" customHeight="1" x14ac:dyDescent="0.2">
      <c r="A2" s="26" t="s">
        <v>72</v>
      </c>
      <c r="B2" s="34">
        <f>'ميزان المراجعه'!B5</f>
        <v>200000</v>
      </c>
      <c r="C2" s="36"/>
      <c r="D2" s="96"/>
      <c r="E2" s="96"/>
    </row>
    <row r="3" spans="1:7" x14ac:dyDescent="0.2">
      <c r="A3" s="26" t="s">
        <v>12</v>
      </c>
      <c r="B3" s="34">
        <f>'ميزان المراجعه'!F6</f>
        <v>387235</v>
      </c>
      <c r="C3" s="36"/>
      <c r="D3" s="31" t="s">
        <v>141</v>
      </c>
      <c r="E3" s="60">
        <f>'ميزان المراجعه'!G12</f>
        <v>176590</v>
      </c>
    </row>
    <row r="4" spans="1:7" x14ac:dyDescent="0.2">
      <c r="A4" s="26" t="s">
        <v>13</v>
      </c>
      <c r="B4" s="34">
        <f>'ميزان المراجعه'!F7</f>
        <v>940000</v>
      </c>
      <c r="C4" s="36"/>
      <c r="D4" s="33" t="s">
        <v>136</v>
      </c>
      <c r="E4" s="34">
        <f>'ميزان المراجعه'!G13</f>
        <v>10000</v>
      </c>
    </row>
    <row r="5" spans="1:7" x14ac:dyDescent="0.2">
      <c r="A5" s="26" t="s">
        <v>40</v>
      </c>
      <c r="B5" s="34">
        <f>'ميزان المراجعه'!F8</f>
        <v>10000</v>
      </c>
      <c r="C5" s="36"/>
      <c r="D5" s="33" t="s">
        <v>137</v>
      </c>
      <c r="E5" s="34">
        <f>'ميزان المراجعه'!G14</f>
        <v>45000</v>
      </c>
    </row>
    <row r="6" spans="1:7" x14ac:dyDescent="0.2">
      <c r="A6" s="26" t="s">
        <v>22</v>
      </c>
      <c r="B6" s="34">
        <f>'ميزان المراجعه'!F9</f>
        <v>20300</v>
      </c>
      <c r="C6" s="36"/>
      <c r="D6" s="35" t="s">
        <v>138</v>
      </c>
      <c r="E6" s="34">
        <f>E4+E5+E2+E3</f>
        <v>231590</v>
      </c>
    </row>
    <row r="7" spans="1:7" x14ac:dyDescent="0.2">
      <c r="A7" s="26" t="s">
        <v>73</v>
      </c>
      <c r="B7" s="34">
        <f>'ميزان المراجعه'!F10</f>
        <v>40000</v>
      </c>
      <c r="C7" s="36"/>
      <c r="D7" s="33" t="s">
        <v>42</v>
      </c>
      <c r="E7" s="34">
        <f>'ميزان المراجعه'!G11</f>
        <v>1246000</v>
      </c>
    </row>
    <row r="8" spans="1:7" x14ac:dyDescent="0.2">
      <c r="A8" s="26" t="s">
        <v>77</v>
      </c>
      <c r="B8" s="34">
        <f>'ميزان المراجعه'!F15</f>
        <v>163590</v>
      </c>
      <c r="C8" s="36"/>
      <c r="D8" s="33" t="s">
        <v>133</v>
      </c>
      <c r="E8" s="34">
        <f>'قائمة الدخل'!C6</f>
        <v>313535</v>
      </c>
    </row>
    <row r="9" spans="1:7" x14ac:dyDescent="0.2">
      <c r="A9" s="26" t="s">
        <v>82</v>
      </c>
      <c r="B9" s="34">
        <f>'ميزان المراجعه'!F22</f>
        <v>57400</v>
      </c>
      <c r="C9" s="36"/>
      <c r="D9" s="35" t="s">
        <v>139</v>
      </c>
      <c r="E9" s="34">
        <f>E7+E8</f>
        <v>1559535</v>
      </c>
    </row>
    <row r="10" spans="1:7" x14ac:dyDescent="0.2">
      <c r="A10" s="26" t="s">
        <v>83</v>
      </c>
      <c r="B10" s="34">
        <f>'ميزان المراجعه'!F23</f>
        <v>2600</v>
      </c>
      <c r="C10" s="36"/>
      <c r="D10" s="55" t="s">
        <v>140</v>
      </c>
      <c r="E10" s="56">
        <f>E6+E9</f>
        <v>1791125</v>
      </c>
    </row>
    <row r="11" spans="1:7" x14ac:dyDescent="0.2">
      <c r="A11" s="26" t="s">
        <v>28</v>
      </c>
      <c r="B11" s="34">
        <f>'ميزان المراجعه'!G25</f>
        <v>30000</v>
      </c>
      <c r="C11" s="36"/>
      <c r="D11" s="36"/>
      <c r="E11" s="36"/>
    </row>
    <row r="12" spans="1:7" x14ac:dyDescent="0.2">
      <c r="A12" s="53" t="s">
        <v>134</v>
      </c>
      <c r="B12" s="54">
        <f>SUM(B2:B10)-B11</f>
        <v>1791125</v>
      </c>
      <c r="C12" s="36"/>
      <c r="D12" s="36"/>
      <c r="E12" s="36"/>
      <c r="G12" s="52"/>
    </row>
    <row r="13" spans="1:7" x14ac:dyDescent="0.2">
      <c r="C13" s="36"/>
      <c r="D13" s="36"/>
      <c r="E13" s="36"/>
    </row>
  </sheetData>
  <mergeCells count="2">
    <mergeCell ref="D1:D2"/>
    <mergeCell ref="E1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السؤال</vt:lpstr>
      <vt:lpstr>قيود</vt:lpstr>
      <vt:lpstr>ميزان المراجعه</vt:lpstr>
      <vt:lpstr>الايضاحات المتممة</vt:lpstr>
      <vt:lpstr>قائمة الدخل</vt:lpstr>
      <vt:lpstr>قائمة المركز المالي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أديم فهد سليمان العزاز</dc:creator>
  <cp:lastModifiedBy>Ahmed Mohalhal</cp:lastModifiedBy>
  <dcterms:created xsi:type="dcterms:W3CDTF">2025-11-19T09:34:40Z</dcterms:created>
  <dcterms:modified xsi:type="dcterms:W3CDTF">2026-01-02T12:26:24Z</dcterms:modified>
</cp:coreProperties>
</file>