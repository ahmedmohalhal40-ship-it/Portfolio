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منهج الماجستير\بحث دكتور شريف\"/>
    </mc:Choice>
  </mc:AlternateContent>
  <xr:revisionPtr revIDLastSave="0" documentId="13_ncr:1_{7B6F10D8-96BB-48E1-88AF-C4CEF0E260F2}" xr6:coauthVersionLast="47" xr6:coauthVersionMax="47" xr10:uidLastSave="{00000000-0000-0000-0000-000000000000}"/>
  <bookViews>
    <workbookView xWindow="-120" yWindow="-120" windowWidth="20730" windowHeight="11040" tabRatio="811" activeTab="4" xr2:uid="{00000000-000D-0000-FFFF-FFFF00000000}"/>
  </bookViews>
  <sheets>
    <sheet name="Income Statement" sheetId="1" r:id="rId1"/>
    <sheet name="Financial Ratios" sheetId="2" r:id="rId2"/>
    <sheet name="Comparative Analysis" sheetId="3" r:id="rId3"/>
    <sheet name="DuPont Analysis" sheetId="4" r:id="rId4"/>
    <sheet name="Data Inpu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5" i="4"/>
  <c r="J4" i="3"/>
  <c r="J5" i="3"/>
  <c r="J6" i="3"/>
  <c r="J7" i="3"/>
  <c r="J8" i="3"/>
  <c r="J9" i="3"/>
  <c r="J10" i="3"/>
  <c r="J11" i="3"/>
  <c r="J12" i="3"/>
  <c r="H4" i="3"/>
  <c r="H5" i="3"/>
  <c r="H6" i="3"/>
  <c r="H7" i="3"/>
  <c r="H8" i="3"/>
  <c r="H9" i="3"/>
  <c r="H10" i="3"/>
  <c r="H11" i="3"/>
  <c r="H12" i="3"/>
  <c r="H3" i="3"/>
  <c r="J3" i="3" s="1"/>
  <c r="D20" i="2"/>
  <c r="D19" i="2"/>
  <c r="D15" i="2"/>
  <c r="D14" i="2"/>
  <c r="D11" i="2"/>
  <c r="D10" i="2"/>
  <c r="D9" i="2"/>
  <c r="C24" i="1"/>
  <c r="D24" i="1" s="1"/>
  <c r="C21" i="1"/>
  <c r="D21" i="1" s="1"/>
  <c r="C20" i="1"/>
  <c r="C19" i="1"/>
  <c r="C12" i="1"/>
  <c r="C11" i="1"/>
  <c r="C10" i="1"/>
  <c r="C6" i="1"/>
  <c r="D6" i="1" s="1"/>
  <c r="C4" i="1"/>
  <c r="D4" i="1" s="1"/>
  <c r="C2" i="1"/>
  <c r="C3" i="1"/>
  <c r="D3" i="1"/>
  <c r="C13" i="1" l="1"/>
  <c r="D12" i="1"/>
  <c r="D13" i="1"/>
  <c r="D19" i="1"/>
  <c r="D10" i="1"/>
  <c r="D20" i="1"/>
  <c r="D11" i="1"/>
  <c r="C15" i="1"/>
  <c r="D15" i="1" l="1"/>
  <c r="C23" i="1"/>
  <c r="C27" i="1" l="1"/>
  <c r="D21" i="2"/>
  <c r="D4" i="2" l="1"/>
  <c r="D4" i="4"/>
  <c r="D24" i="2"/>
  <c r="D6" i="2"/>
  <c r="D5" i="2"/>
  <c r="D27" i="1"/>
</calcChain>
</file>

<file path=xl/sharedStrings.xml><?xml version="1.0" encoding="utf-8"?>
<sst xmlns="http://schemas.openxmlformats.org/spreadsheetml/2006/main" count="238" uniqueCount="166">
  <si>
    <t>المبيعات</t>
  </si>
  <si>
    <t>تكلفة البضاعة المباعة</t>
  </si>
  <si>
    <t>الربح الإجمالي</t>
  </si>
  <si>
    <t>المصروفات التشغيلية:</t>
  </si>
  <si>
    <t>مصروفات البيع والتسويق</t>
  </si>
  <si>
    <t>مصروفات إدارية</t>
  </si>
  <si>
    <t>مصروفات أخرى تشغيلية</t>
  </si>
  <si>
    <t>إجمالي المصروفات التشغيلية</t>
  </si>
  <si>
    <t>الربح التشغيلي (EBIT)</t>
  </si>
  <si>
    <t>البنود غير التشغيلية:</t>
  </si>
  <si>
    <t>إيرادات أخرى</t>
  </si>
  <si>
    <t>مصروفات أخرى</t>
  </si>
  <si>
    <t>الفائدة</t>
  </si>
  <si>
    <t>الربح قبل الضريبة</t>
  </si>
  <si>
    <t>الضريبة</t>
  </si>
  <si>
    <t>صافي الدخل</t>
  </si>
  <si>
    <t>Sales Revenue</t>
  </si>
  <si>
    <t>Cost of Goods Sold (COGS)</t>
  </si>
  <si>
    <t>Gross Profit</t>
  </si>
  <si>
    <t>Operating Expenses:</t>
  </si>
  <si>
    <t>Selling &amp; Marketing Expenses</t>
  </si>
  <si>
    <t>Administrative Expenses</t>
  </si>
  <si>
    <t>Other Operating Expenses</t>
  </si>
  <si>
    <t>Total Operating Expenses</t>
  </si>
  <si>
    <t>Operating Income (EBIT)</t>
  </si>
  <si>
    <t>Non-Operating Items:</t>
  </si>
  <si>
    <t>Other Income</t>
  </si>
  <si>
    <t>Other Expenses</t>
  </si>
  <si>
    <t>Interest Expense</t>
  </si>
  <si>
    <t>Earnings Before Tax (EBT)</t>
  </si>
  <si>
    <t>Income Tax</t>
  </si>
  <si>
    <t>NET INCOME</t>
  </si>
  <si>
    <t>البيان</t>
  </si>
  <si>
    <t>Statement</t>
  </si>
  <si>
    <t>القيمة / Amount</t>
  </si>
  <si>
    <t>% من المبيعات / % of Sales</t>
  </si>
  <si>
    <t>نسب الربحية:</t>
  </si>
  <si>
    <t>هامش صافي الربح %</t>
  </si>
  <si>
    <t>العائد على الأصول ROA %</t>
  </si>
  <si>
    <t>العائد على حقوق المساهمين ROE %</t>
  </si>
  <si>
    <t>نسب السيولة:</t>
  </si>
  <si>
    <t>النسبة الحالية</t>
  </si>
  <si>
    <t>النسبة السريعة</t>
  </si>
  <si>
    <t>نسبة النقدية</t>
  </si>
  <si>
    <t>نسب الكفاءة:</t>
  </si>
  <si>
    <t>معدل دوران الأصول</t>
  </si>
  <si>
    <t>معدل دوران المخزون</t>
  </si>
  <si>
    <t>دورة تحويل النقدية</t>
  </si>
  <si>
    <t>نسب الالتزامات والملكية:</t>
  </si>
  <si>
    <t>نسبة الدين إلى حقوق الملكية</t>
  </si>
  <si>
    <t>نسبة الدين إلى الأصول</t>
  </si>
  <si>
    <t>مرات تغطية الفائدة</t>
  </si>
  <si>
    <t>نسب السوق:</t>
  </si>
  <si>
    <t>نسبة السعر إلى الربح</t>
  </si>
  <si>
    <t>PROFITABILITY RATIOS:</t>
  </si>
  <si>
    <t>Net Profit Margin %</t>
  </si>
  <si>
    <t>Return on Assets (ROA) %</t>
  </si>
  <si>
    <t>Return on Equity (ROE) %</t>
  </si>
  <si>
    <t>LIQUIDITY RATIOS:</t>
  </si>
  <si>
    <t>Current Ratio</t>
  </si>
  <si>
    <t>Quick Ratio</t>
  </si>
  <si>
    <t>Cash Ratio</t>
  </si>
  <si>
    <t>EFFICIENCY RATIOS:</t>
  </si>
  <si>
    <t>Asset Turnover Ratio</t>
  </si>
  <si>
    <t>Inventory Turnover</t>
  </si>
  <si>
    <t>Cash Conversion Cycle</t>
  </si>
  <si>
    <t>LEVERAGE/SOLVENCY RATIOS:</t>
  </si>
  <si>
    <t>Debt to Equity Ratio</t>
  </si>
  <si>
    <t>Debt to Assets Ratio</t>
  </si>
  <si>
    <t>Interest Coverage Ratio</t>
  </si>
  <si>
    <t>MARKET/GROWTH RATIOS:</t>
  </si>
  <si>
    <t>Price to Earnings (P/E)</t>
  </si>
  <si>
    <t>(Net Income / Sales) × 100</t>
  </si>
  <si>
    <t>(Net Income / Total Assets) × 100</t>
  </si>
  <si>
    <t>(Net Income / Equity) × 100</t>
  </si>
  <si>
    <t>Current Assets / Current Liabilities</t>
  </si>
  <si>
    <t>(Current Assets - Inventory) / Current Liabilities</t>
  </si>
  <si>
    <t>Cash / Current Liabilities</t>
  </si>
  <si>
    <t>Sales / Total Assets</t>
  </si>
  <si>
    <t>COGS / Average Inventory</t>
  </si>
  <si>
    <t>Days Inventory + Days Receivable - Days Payable</t>
  </si>
  <si>
    <t>Total Liabilities / Total Equity</t>
  </si>
  <si>
    <t>Total Liabilities / Total Assets</t>
  </si>
  <si>
    <t>EBIT / Interest Expense</t>
  </si>
  <si>
    <t>Stock Price / Earnings Per Share</t>
  </si>
  <si>
    <t>مؤشر التحليل</t>
  </si>
  <si>
    <t>Financial Ratio</t>
  </si>
  <si>
    <t>الصيغة</t>
  </si>
  <si>
    <t>النتيجة</t>
  </si>
  <si>
    <t>التقييم</t>
  </si>
  <si>
    <t>المصروفات التشغيلية</t>
  </si>
  <si>
    <t>الربح التشغيلي</t>
  </si>
  <si>
    <t>نسبة هامش الربح الإجمالي %</t>
  </si>
  <si>
    <t>نسبة هامش الربح التشغيلي %</t>
  </si>
  <si>
    <t>نسبة هامش صافي الربح %</t>
  </si>
  <si>
    <t>COGS</t>
  </si>
  <si>
    <t>Operating Expenses</t>
  </si>
  <si>
    <t>Operating Income</t>
  </si>
  <si>
    <t>Net Income</t>
  </si>
  <si>
    <t>Gross Margin %</t>
  </si>
  <si>
    <t>Operating Margin %</t>
  </si>
  <si>
    <t>Item</t>
  </si>
  <si>
    <t>السنة الحالية</t>
  </si>
  <si>
    <t>Current Year</t>
  </si>
  <si>
    <t>السنة السابقة</t>
  </si>
  <si>
    <t>Previous Year</t>
  </si>
  <si>
    <t>التغير المطلق</t>
  </si>
  <si>
    <t>Absolute Change</t>
  </si>
  <si>
    <t>التغير النسبي %</t>
  </si>
  <si>
    <t>% Change</t>
  </si>
  <si>
    <t>العائد على حقوق الملاك (ROE)</t>
  </si>
  <si>
    <t>× معدل دوران الأصول</t>
  </si>
  <si>
    <t>× المضاعف المالي</t>
  </si>
  <si>
    <t>التفسير:</t>
  </si>
  <si>
    <t>Return on Equity (ROE)</t>
  </si>
  <si>
    <t>× Asset Turnover</t>
  </si>
  <si>
    <t>× Financial Multiplier</t>
  </si>
  <si>
    <t>INTERPRETATION:</t>
  </si>
  <si>
    <t>Profitability: How much profit from each sale</t>
  </si>
  <si>
    <t>Efficiency: How efficiently assets are used</t>
  </si>
  <si>
    <t>Leverage: How much debt is used relative to equity</t>
  </si>
  <si>
    <t>Net Income / Sales</t>
  </si>
  <si>
    <t>Total Assets / Total Equity</t>
  </si>
  <si>
    <t>تحليل DuPont - ROE Decomposition</t>
  </si>
  <si>
    <t>القيمة</t>
  </si>
  <si>
    <t>بيانات قائمة الدخل</t>
  </si>
  <si>
    <t>مصروفات الفائدة</t>
  </si>
  <si>
    <t>بيانات الميزانية العمومية</t>
  </si>
  <si>
    <t>إجمالي الأصول</t>
  </si>
  <si>
    <t>الالتزامات طويلة الأجل</t>
  </si>
  <si>
    <t>إجمالي الالتزامات</t>
  </si>
  <si>
    <t>حقوق المساهمين</t>
  </si>
  <si>
    <t>معلومات إضافية</t>
  </si>
  <si>
    <t>المخزون</t>
  </si>
  <si>
    <t>الذمم المدينة</t>
  </si>
  <si>
    <t>الذمم الدائنة</t>
  </si>
  <si>
    <t>سعر السهم</t>
  </si>
  <si>
    <t>عدد الأسهم</t>
  </si>
  <si>
    <t>Income Statement Data</t>
  </si>
  <si>
    <t>Selling &amp; Marketing</t>
  </si>
  <si>
    <t>Other Operating</t>
  </si>
  <si>
    <t>Balance Sheet Data</t>
  </si>
  <si>
    <t>Current Assets</t>
  </si>
  <si>
    <t>Non-Current Assets</t>
  </si>
  <si>
    <t>Total Assets</t>
  </si>
  <si>
    <t>Current Liabilities</t>
  </si>
  <si>
    <t>Long-term Liabilities</t>
  </si>
  <si>
    <t>Total Liabilities</t>
  </si>
  <si>
    <t>Total Equity</t>
  </si>
  <si>
    <t>Additional Information</t>
  </si>
  <si>
    <t>Inventory</t>
  </si>
  <si>
    <t>Accounts Receivable</t>
  </si>
  <si>
    <t>Accounts Payable</t>
  </si>
  <si>
    <t>Stock Price</t>
  </si>
  <si>
    <t>Number of Shares</t>
  </si>
  <si>
    <t>إدخال البيانات الأساسية - Data Input</t>
  </si>
  <si>
    <t>الأصول غير الجارية</t>
  </si>
  <si>
    <t>إجمالي الأصول الجارية</t>
  </si>
  <si>
    <t>Column1</t>
  </si>
  <si>
    <t>Value</t>
  </si>
  <si>
    <t>الالتزامات الجارية</t>
  </si>
  <si>
    <t>النقدية</t>
  </si>
  <si>
    <t>Cash</t>
  </si>
  <si>
    <t>%</t>
  </si>
  <si>
    <t>-------</t>
  </si>
  <si>
    <t>الباحث/ أحمد محمد مهلهل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</si>
</sst>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4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2"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83EFD-8E89-4BD8-8E27-DB081D3FFD9A}" name="Table1" displayName="Table1" ref="A1:D27" totalsRowShown="0" headerRowDxfId="31" dataDxfId="30">
  <autoFilter ref="A1:D27" xr:uid="{60B83EFD-8E89-4BD8-8E27-DB081D3FFD9A}"/>
  <tableColumns count="4">
    <tableColumn id="1" xr3:uid="{EBF88ABB-C12B-4BD3-BC47-9CFCC9B6F2A5}" name="البيان" dataDxfId="29"/>
    <tableColumn id="2" xr3:uid="{3E053C1A-908D-437B-B6CA-0CBD8B699286}" name="Statement" dataDxfId="28"/>
    <tableColumn id="3" xr3:uid="{8D2E5DF5-4736-4C89-BB84-96EBE551F157}" name="القيمة / Amount" dataDxfId="27">
      <calculatedColumnFormula>'Data Input'!C3</calculatedColumnFormula>
    </tableColumn>
    <tableColumn id="4" xr3:uid="{91231F57-C187-42D4-98CA-7BD96B0058C4}" name="% من المبيعات / % of Sales" dataDxfId="26">
      <calculatedColumnFormula>C2/$C$3</calculatedColumnFormula>
    </tableColumn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D1FF53-14E3-4DF1-8A10-34B2361712B7}" name="Table6" displayName="Table6" ref="A1:E24" totalsRowShown="0" headerRowDxfId="25" dataDxfId="24">
  <autoFilter ref="A1:E24" xr:uid="{D4D1FF53-14E3-4DF1-8A10-34B2361712B7}"/>
  <tableColumns count="5">
    <tableColumn id="1" xr3:uid="{64B28ED4-A037-442D-A886-EE0AF9255C31}" name="مؤشر التحليل" dataDxfId="23"/>
    <tableColumn id="2" xr3:uid="{22BF9999-8238-49BE-8D67-5E0990507025}" name="Financial Ratio" dataDxfId="22"/>
    <tableColumn id="3" xr3:uid="{AB0B84AC-E5AA-4EBD-AFB8-666DB9187FD4}" name="الصيغة" dataDxfId="21"/>
    <tableColumn id="4" xr3:uid="{66E6C8CD-3AD6-4260-9C69-84B017BE1199}" name="النتيجة" dataDxfId="20"/>
    <tableColumn id="5" xr3:uid="{B47A0815-6023-4492-AC60-4B94AB951246}" name="التقييم" dataDxfId="1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B04F20-F35E-4D44-ADAF-84CC5E8AE5FD}" name="Table5" displayName="Table5" ref="A1:J12" totalsRowShown="0" headerRowDxfId="18" dataDxfId="17">
  <autoFilter ref="A1:J12" xr:uid="{AAB04F20-F35E-4D44-ADAF-84CC5E8AE5FD}"/>
  <tableColumns count="10">
    <tableColumn id="1" xr3:uid="{98B568FB-37D4-4D69-8704-48A4E699E366}" name="البيان" dataDxfId="16"/>
    <tableColumn id="2" xr3:uid="{88CBFA3C-CA2E-4073-BE26-1FBC43CDAB13}" name="Item" dataDxfId="15"/>
    <tableColumn id="3" xr3:uid="{50A88E9E-4367-402F-9CFB-353F8AA5A4E6}" name="السنة الحالية" dataDxfId="14"/>
    <tableColumn id="4" xr3:uid="{0F39828B-09C9-4290-89B9-FAC4BDF57E1B}" name="Current Year" dataDxfId="13"/>
    <tableColumn id="5" xr3:uid="{44FAD287-97B4-47F8-9F4C-F9F4F70126C1}" name="السنة السابقة" dataDxfId="12"/>
    <tableColumn id="6" xr3:uid="{43C4E4D8-3020-4D4C-A399-360A00A0A37A}" name="Previous Year" dataDxfId="11"/>
    <tableColumn id="7" xr3:uid="{E6390957-1127-4CD8-BD8F-AB9456EB3ACB}" name="التغير المطلق" dataDxfId="10"/>
    <tableColumn id="8" xr3:uid="{D1DBA4CD-94BD-4E9B-A1A6-1144BB8F562F}" name="Absolute Change" dataDxfId="9">
      <calculatedColumnFormula>D2-F2</calculatedColumnFormula>
    </tableColumn>
    <tableColumn id="9" xr3:uid="{C47E060C-72C6-4F8D-9376-AAFDA80748DE}" name="التغير النسبي %" dataDxfId="8"/>
    <tableColumn id="10" xr3:uid="{D559682F-7A24-4A51-A195-46EE5F18C2E1}" name="% Change" dataDxfId="7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27BA85-82AB-451D-BA13-05359E4DD0A8}" name="Table7" displayName="Table7" ref="A1:E6" totalsRowShown="0" headerRowDxfId="6" dataDxfId="5">
  <autoFilter ref="A1:E6" xr:uid="{9D27BA85-82AB-451D-BA13-05359E4DD0A8}"/>
  <tableColumns count="5">
    <tableColumn id="1" xr3:uid="{0CD072CB-1708-4B2B-84EA-4A6A7398AD02}" name="تحليل DuPont - ROE Decomposition" dataDxfId="4"/>
    <tableColumn id="2" xr3:uid="{EAECB87F-A9F0-4CBE-A0E8-492C1F90A734}" name="Column1" dataDxfId="3"/>
    <tableColumn id="3" xr3:uid="{75E33B4B-BF34-4811-88A2-329EAF77E6D2}" name="الصيغة" dataDxfId="2"/>
    <tableColumn id="4" xr3:uid="{4360F47F-DDEE-4E04-B13F-AA827B2A8E9E}" name="القيمة" dataDxfId="1"/>
    <tableColumn id="5" xr3:uid="{4C6896A0-AEB6-4518-A905-2EE55320B05E}" name="%" dataDxfId="0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02B7B5-7AA2-4702-AA41-C14C61AA03FF}" name="Table2" displayName="Table2" ref="A3:C12" totalsRowShown="0">
  <autoFilter ref="A3:C12" xr:uid="{8602B7B5-7AA2-4702-AA41-C14C61AA03FF}"/>
  <tableColumns count="3">
    <tableColumn id="1" xr3:uid="{B497AA54-E802-46D0-89C1-701A8429AA4D}" name="بيانات قائمة الدخل"/>
    <tableColumn id="2" xr3:uid="{A74B27FB-0CE3-4139-A7D4-FF7CE660D930}" name="Income Statement Data"/>
    <tableColumn id="3" xr3:uid="{B0BD7994-0687-4E65-9F74-D329EB8540DB}" name="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482C3B-66E1-4EAE-B602-683B8EC62D36}" name="Table3" displayName="Table3" ref="A14:C22" totalsRowShown="0">
  <autoFilter ref="A14:C22" xr:uid="{26482C3B-66E1-4EAE-B602-683B8EC62D36}"/>
  <tableColumns count="3">
    <tableColumn id="1" xr3:uid="{E6C48264-065B-4039-B66D-146162DD9755}" name="بيانات الميزانية العمومية"/>
    <tableColumn id="2" xr3:uid="{1CA47F03-F097-459B-9DFB-AD970896B10C}" name="Balance Sheet Data"/>
    <tableColumn id="3" xr3:uid="{622D6231-6AA4-41FA-8785-D69803725D54}" name="Value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7FC6FF-5ACB-4BE5-9A7E-A698AD445077}" name="Table4" displayName="Table4" ref="A24:C30" totalsRowShown="0">
  <autoFilter ref="A24:C30" xr:uid="{737FC6FF-5ACB-4BE5-9A7E-A698AD445077}"/>
  <tableColumns count="3">
    <tableColumn id="1" xr3:uid="{9A431801-0829-4309-AACD-138C38014E11}" name="معلومات إضافية"/>
    <tableColumn id="2" xr3:uid="{F92DCDD0-7E26-4BE0-AE56-5B99CF525707}" name="Additional Information"/>
    <tableColumn id="3" xr3:uid="{74F1A491-15BE-4A66-905D-27DD7CA5A5E1}" name="Valu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F5" sqref="F5:K7"/>
    </sheetView>
  </sheetViews>
  <sheetFormatPr defaultRowHeight="15" x14ac:dyDescent="0.25"/>
  <cols>
    <col min="1" max="1" width="21.7109375" style="4" bestFit="1" customWidth="1"/>
    <col min="2" max="2" width="27.5703125" style="4" bestFit="1" customWidth="1"/>
    <col min="3" max="3" width="16.7109375" style="4" customWidth="1"/>
    <col min="4" max="4" width="24.85546875" style="4" customWidth="1"/>
    <col min="5" max="16384" width="9.140625" style="4"/>
  </cols>
  <sheetData>
    <row r="1" spans="1:11" x14ac:dyDescent="0.25">
      <c r="A1" s="4" t="s">
        <v>32</v>
      </c>
      <c r="B1" s="4" t="s">
        <v>33</v>
      </c>
      <c r="C1" s="4" t="s">
        <v>34</v>
      </c>
      <c r="D1" s="4" t="s">
        <v>35</v>
      </c>
    </row>
    <row r="2" spans="1:11" x14ac:dyDescent="0.25">
      <c r="C2" s="4" t="str">
        <f>'Data Input'!C3</f>
        <v>Value</v>
      </c>
    </row>
    <row r="3" spans="1:11" x14ac:dyDescent="0.25">
      <c r="A3" s="4" t="s">
        <v>0</v>
      </c>
      <c r="B3" s="4" t="s">
        <v>16</v>
      </c>
      <c r="C3" s="4">
        <f>'Data Input'!C4</f>
        <v>0</v>
      </c>
      <c r="D3" s="5" t="e">
        <f t="shared" ref="D3:D27" si="0">C3/$C$3</f>
        <v>#DIV/0!</v>
      </c>
    </row>
    <row r="4" spans="1:11" x14ac:dyDescent="0.25">
      <c r="A4" s="4" t="s">
        <v>1</v>
      </c>
      <c r="B4" s="4" t="s">
        <v>17</v>
      </c>
      <c r="C4" s="4">
        <f>'Data Input'!C5</f>
        <v>0</v>
      </c>
      <c r="D4" s="5" t="e">
        <f t="shared" si="0"/>
        <v>#DIV/0!</v>
      </c>
    </row>
    <row r="5" spans="1:11" x14ac:dyDescent="0.25">
      <c r="D5" s="5"/>
      <c r="F5" s="9" t="s">
        <v>165</v>
      </c>
      <c r="G5" s="9"/>
      <c r="H5" s="9"/>
      <c r="I5" s="9"/>
      <c r="J5" s="9"/>
      <c r="K5" s="9"/>
    </row>
    <row r="6" spans="1:11" x14ac:dyDescent="0.25">
      <c r="A6" s="4" t="s">
        <v>2</v>
      </c>
      <c r="B6" s="4" t="s">
        <v>18</v>
      </c>
      <c r="C6" s="4">
        <f>C3-C4</f>
        <v>0</v>
      </c>
      <c r="D6" s="5" t="e">
        <f t="shared" si="0"/>
        <v>#DIV/0!</v>
      </c>
      <c r="F6" s="9"/>
      <c r="G6" s="9"/>
      <c r="H6" s="9"/>
      <c r="I6" s="9"/>
      <c r="J6" s="9"/>
      <c r="K6" s="9"/>
    </row>
    <row r="7" spans="1:11" x14ac:dyDescent="0.25">
      <c r="D7" s="5"/>
      <c r="F7" s="9"/>
      <c r="G7" s="9"/>
      <c r="H7" s="9"/>
      <c r="I7" s="9"/>
      <c r="J7" s="9"/>
      <c r="K7" s="9"/>
    </row>
    <row r="8" spans="1:11" x14ac:dyDescent="0.25">
      <c r="D8" s="5"/>
    </row>
    <row r="9" spans="1:11" x14ac:dyDescent="0.25">
      <c r="A9" s="4" t="s">
        <v>3</v>
      </c>
      <c r="B9" s="4" t="s">
        <v>19</v>
      </c>
      <c r="D9" s="5"/>
    </row>
    <row r="10" spans="1:11" x14ac:dyDescent="0.25">
      <c r="A10" s="4" t="s">
        <v>4</v>
      </c>
      <c r="B10" s="4" t="s">
        <v>20</v>
      </c>
      <c r="C10" s="4">
        <f>'Data Input'!C6</f>
        <v>0</v>
      </c>
      <c r="D10" s="5" t="e">
        <f t="shared" si="0"/>
        <v>#DIV/0!</v>
      </c>
    </row>
    <row r="11" spans="1:11" x14ac:dyDescent="0.25">
      <c r="A11" s="4" t="s">
        <v>5</v>
      </c>
      <c r="B11" s="4" t="s">
        <v>21</v>
      </c>
      <c r="C11" s="4">
        <f>'Data Input'!C7</f>
        <v>0</v>
      </c>
      <c r="D11" s="5" t="e">
        <f t="shared" si="0"/>
        <v>#DIV/0!</v>
      </c>
    </row>
    <row r="12" spans="1:11" x14ac:dyDescent="0.25">
      <c r="A12" s="4" t="s">
        <v>6</v>
      </c>
      <c r="B12" s="4" t="s">
        <v>22</v>
      </c>
      <c r="C12" s="4">
        <f>'Data Input'!C8</f>
        <v>0</v>
      </c>
      <c r="D12" s="5" t="e">
        <f t="shared" si="0"/>
        <v>#DIV/0!</v>
      </c>
    </row>
    <row r="13" spans="1:11" x14ac:dyDescent="0.25">
      <c r="A13" s="4" t="s">
        <v>7</v>
      </c>
      <c r="B13" s="4" t="s">
        <v>23</v>
      </c>
      <c r="C13" s="4">
        <f>SUM(C10:C12)</f>
        <v>0</v>
      </c>
      <c r="D13" s="5" t="e">
        <f t="shared" si="0"/>
        <v>#DIV/0!</v>
      </c>
    </row>
    <row r="14" spans="1:11" x14ac:dyDescent="0.25">
      <c r="D14" s="5"/>
    </row>
    <row r="15" spans="1:11" x14ac:dyDescent="0.25">
      <c r="A15" s="4" t="s">
        <v>8</v>
      </c>
      <c r="B15" s="4" t="s">
        <v>24</v>
      </c>
      <c r="C15" s="4">
        <f>C6-C13</f>
        <v>0</v>
      </c>
      <c r="D15" s="5" t="e">
        <f t="shared" si="0"/>
        <v>#DIV/0!</v>
      </c>
    </row>
    <row r="16" spans="1:11" x14ac:dyDescent="0.25">
      <c r="D16" s="5"/>
    </row>
    <row r="17" spans="1:4" x14ac:dyDescent="0.25">
      <c r="D17" s="5"/>
    </row>
    <row r="18" spans="1:4" x14ac:dyDescent="0.25">
      <c r="A18" s="4" t="s">
        <v>9</v>
      </c>
      <c r="B18" s="4" t="s">
        <v>25</v>
      </c>
      <c r="D18" s="5"/>
    </row>
    <row r="19" spans="1:4" x14ac:dyDescent="0.25">
      <c r="A19" s="4" t="s">
        <v>10</v>
      </c>
      <c r="B19" s="4" t="s">
        <v>26</v>
      </c>
      <c r="C19" s="4">
        <f>'Data Input'!C9</f>
        <v>0</v>
      </c>
      <c r="D19" s="5" t="e">
        <f t="shared" si="0"/>
        <v>#DIV/0!</v>
      </c>
    </row>
    <row r="20" spans="1:4" x14ac:dyDescent="0.25">
      <c r="A20" s="4" t="s">
        <v>11</v>
      </c>
      <c r="B20" s="4" t="s">
        <v>27</v>
      </c>
      <c r="C20" s="4">
        <f>'Data Input'!C10</f>
        <v>0</v>
      </c>
      <c r="D20" s="5" t="e">
        <f t="shared" si="0"/>
        <v>#DIV/0!</v>
      </c>
    </row>
    <row r="21" spans="1:4" x14ac:dyDescent="0.25">
      <c r="A21" s="4" t="s">
        <v>12</v>
      </c>
      <c r="B21" s="4" t="s">
        <v>28</v>
      </c>
      <c r="C21" s="4">
        <f>'Data Input'!C11</f>
        <v>0</v>
      </c>
      <c r="D21" s="5" t="e">
        <f t="shared" si="0"/>
        <v>#DIV/0!</v>
      </c>
    </row>
    <row r="22" spans="1:4" x14ac:dyDescent="0.25">
      <c r="D22" s="5"/>
    </row>
    <row r="23" spans="1:4" x14ac:dyDescent="0.25">
      <c r="A23" s="4" t="s">
        <v>13</v>
      </c>
      <c r="B23" s="4" t="s">
        <v>29</v>
      </c>
      <c r="C23" s="4">
        <f>C15+C19-C20-C21</f>
        <v>0</v>
      </c>
      <c r="D23" s="5"/>
    </row>
    <row r="24" spans="1:4" x14ac:dyDescent="0.25">
      <c r="A24" s="4" t="s">
        <v>14</v>
      </c>
      <c r="B24" s="4" t="s">
        <v>30</v>
      </c>
      <c r="C24" s="4">
        <f>'Data Input'!C12</f>
        <v>0</v>
      </c>
      <c r="D24" s="5" t="e">
        <f t="shared" si="0"/>
        <v>#DIV/0!</v>
      </c>
    </row>
    <row r="25" spans="1:4" x14ac:dyDescent="0.25">
      <c r="D25" s="5"/>
    </row>
    <row r="26" spans="1:4" x14ac:dyDescent="0.25">
      <c r="D26" s="5"/>
    </row>
    <row r="27" spans="1:4" x14ac:dyDescent="0.25">
      <c r="A27" s="4" t="s">
        <v>15</v>
      </c>
      <c r="B27" s="4" t="s">
        <v>31</v>
      </c>
      <c r="C27" s="4">
        <f>C23-C24</f>
        <v>0</v>
      </c>
      <c r="D27" s="5" t="e">
        <f t="shared" si="0"/>
        <v>#DIV/0!</v>
      </c>
    </row>
  </sheetData>
  <mergeCells count="1">
    <mergeCell ref="F5:K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C15" sqref="C15"/>
    </sheetView>
  </sheetViews>
  <sheetFormatPr defaultRowHeight="15" x14ac:dyDescent="0.25"/>
  <cols>
    <col min="1" max="1" width="33.7109375" customWidth="1"/>
    <col min="2" max="2" width="27.7109375" customWidth="1"/>
    <col min="3" max="3" width="50.7109375" customWidth="1"/>
    <col min="4" max="4" width="9.7109375" style="3" customWidth="1"/>
    <col min="5" max="5" width="9.7109375" customWidth="1"/>
  </cols>
  <sheetData>
    <row r="1" spans="1:5" x14ac:dyDescent="0.25">
      <c r="A1" s="4" t="s">
        <v>85</v>
      </c>
      <c r="B1" s="4" t="s">
        <v>86</v>
      </c>
      <c r="C1" s="4" t="s">
        <v>87</v>
      </c>
      <c r="D1" s="6" t="s">
        <v>88</v>
      </c>
      <c r="E1" s="4" t="s">
        <v>89</v>
      </c>
    </row>
    <row r="2" spans="1:5" x14ac:dyDescent="0.25">
      <c r="A2" s="4"/>
      <c r="B2" s="4"/>
      <c r="C2" s="4"/>
      <c r="D2" s="6"/>
      <c r="E2" s="4"/>
    </row>
    <row r="3" spans="1:5" x14ac:dyDescent="0.25">
      <c r="A3" s="4" t="s">
        <v>36</v>
      </c>
      <c r="B3" s="4" t="s">
        <v>54</v>
      </c>
      <c r="C3" s="4"/>
      <c r="D3" s="6"/>
      <c r="E3" s="4"/>
    </row>
    <row r="4" spans="1:5" x14ac:dyDescent="0.25">
      <c r="A4" s="4" t="s">
        <v>37</v>
      </c>
      <c r="B4" s="4" t="s">
        <v>55</v>
      </c>
      <c r="C4" s="4" t="s">
        <v>72</v>
      </c>
      <c r="D4" s="6" t="e">
        <f>'Income Statement'!C27/'Income Statement'!C3*100</f>
        <v>#DIV/0!</v>
      </c>
      <c r="E4" s="4"/>
    </row>
    <row r="5" spans="1:5" x14ac:dyDescent="0.25">
      <c r="A5" s="4" t="s">
        <v>38</v>
      </c>
      <c r="B5" s="4" t="s">
        <v>56</v>
      </c>
      <c r="C5" s="4" t="s">
        <v>73</v>
      </c>
      <c r="D5" s="6" t="e">
        <f>'Income Statement'!C27/'Data Input'!C17*100</f>
        <v>#DIV/0!</v>
      </c>
      <c r="E5" s="4"/>
    </row>
    <row r="6" spans="1:5" x14ac:dyDescent="0.25">
      <c r="A6" s="4" t="s">
        <v>39</v>
      </c>
      <c r="B6" s="4" t="s">
        <v>57</v>
      </c>
      <c r="C6" s="4" t="s">
        <v>74</v>
      </c>
      <c r="D6" s="6" t="e">
        <f>'Income Statement'!C27/'Data Input'!C22*100</f>
        <v>#DIV/0!</v>
      </c>
      <c r="E6" s="4"/>
    </row>
    <row r="7" spans="1:5" x14ac:dyDescent="0.25">
      <c r="A7" s="4"/>
      <c r="B7" s="4"/>
      <c r="C7" s="4"/>
      <c r="D7" s="6"/>
      <c r="E7" s="4"/>
    </row>
    <row r="8" spans="1:5" x14ac:dyDescent="0.25">
      <c r="A8" s="4" t="s">
        <v>40</v>
      </c>
      <c r="B8" s="4" t="s">
        <v>58</v>
      </c>
      <c r="C8" s="4"/>
      <c r="D8" s="6"/>
      <c r="E8" s="4"/>
    </row>
    <row r="9" spans="1:5" x14ac:dyDescent="0.25">
      <c r="A9" s="4" t="s">
        <v>41</v>
      </c>
      <c r="B9" s="4" t="s">
        <v>59</v>
      </c>
      <c r="C9" s="4" t="s">
        <v>75</v>
      </c>
      <c r="D9" s="6" t="e">
        <f>'Data Input'!C15/'Data Input'!C19*100</f>
        <v>#DIV/0!</v>
      </c>
      <c r="E9" s="4"/>
    </row>
    <row r="10" spans="1:5" x14ac:dyDescent="0.25">
      <c r="A10" s="4" t="s">
        <v>42</v>
      </c>
      <c r="B10" s="4" t="s">
        <v>60</v>
      </c>
      <c r="C10" s="4" t="s">
        <v>76</v>
      </c>
      <c r="D10" s="6" t="e">
        <f>('Data Input'!C15-'Data Input'!C25)/'Data Input'!C19*100</f>
        <v>#DIV/0!</v>
      </c>
      <c r="E10" s="4"/>
    </row>
    <row r="11" spans="1:5" x14ac:dyDescent="0.25">
      <c r="A11" s="4" t="s">
        <v>43</v>
      </c>
      <c r="B11" s="4" t="s">
        <v>61</v>
      </c>
      <c r="C11" s="4" t="s">
        <v>77</v>
      </c>
      <c r="D11" s="6" t="e">
        <f>'Data Input'!C30/'Data Input'!C19*100</f>
        <v>#DIV/0!</v>
      </c>
      <c r="E11" s="4"/>
    </row>
    <row r="12" spans="1:5" x14ac:dyDescent="0.25">
      <c r="A12" s="4"/>
      <c r="B12" s="4"/>
      <c r="C12" s="4"/>
      <c r="D12" s="6"/>
      <c r="E12" s="4"/>
    </row>
    <row r="13" spans="1:5" x14ac:dyDescent="0.25">
      <c r="A13" s="4" t="s">
        <v>44</v>
      </c>
      <c r="B13" s="4" t="s">
        <v>62</v>
      </c>
      <c r="C13" s="4"/>
      <c r="D13" s="6"/>
      <c r="E13" s="4"/>
    </row>
    <row r="14" spans="1:5" x14ac:dyDescent="0.25">
      <c r="A14" s="4" t="s">
        <v>45</v>
      </c>
      <c r="B14" s="4" t="s">
        <v>63</v>
      </c>
      <c r="C14" s="4" t="s">
        <v>78</v>
      </c>
      <c r="D14" s="6" t="e">
        <f>'Data Input'!C4/'Data Input'!C17*100</f>
        <v>#DIV/0!</v>
      </c>
      <c r="E14" s="4"/>
    </row>
    <row r="15" spans="1:5" x14ac:dyDescent="0.25">
      <c r="A15" s="4" t="s">
        <v>46</v>
      </c>
      <c r="B15" s="4" t="s">
        <v>64</v>
      </c>
      <c r="C15" s="4" t="s">
        <v>79</v>
      </c>
      <c r="D15" s="6" t="e">
        <f>'Data Input'!C5/'Data Input'!C25*100</f>
        <v>#DIV/0!</v>
      </c>
      <c r="E15" s="4"/>
    </row>
    <row r="16" spans="1:5" x14ac:dyDescent="0.25">
      <c r="A16" s="4" t="s">
        <v>47</v>
      </c>
      <c r="B16" s="4" t="s">
        <v>65</v>
      </c>
      <c r="C16" s="4" t="s">
        <v>80</v>
      </c>
      <c r="D16" s="6"/>
      <c r="E16" s="4"/>
    </row>
    <row r="17" spans="1:5" x14ac:dyDescent="0.25">
      <c r="A17" s="4"/>
      <c r="B17" s="4"/>
      <c r="C17" s="4"/>
      <c r="D17" s="6"/>
      <c r="E17" s="4"/>
    </row>
    <row r="18" spans="1:5" x14ac:dyDescent="0.25">
      <c r="A18" s="4" t="s">
        <v>48</v>
      </c>
      <c r="B18" s="4" t="s">
        <v>66</v>
      </c>
      <c r="C18" s="4"/>
      <c r="D18" s="6"/>
      <c r="E18" s="4"/>
    </row>
    <row r="19" spans="1:5" x14ac:dyDescent="0.25">
      <c r="A19" s="4" t="s">
        <v>49</v>
      </c>
      <c r="B19" s="4" t="s">
        <v>67</v>
      </c>
      <c r="C19" s="4" t="s">
        <v>81</v>
      </c>
      <c r="D19" s="6" t="e">
        <f>'Data Input'!C21/'Data Input'!C22*100</f>
        <v>#DIV/0!</v>
      </c>
      <c r="E19" s="4"/>
    </row>
    <row r="20" spans="1:5" x14ac:dyDescent="0.25">
      <c r="A20" s="4" t="s">
        <v>50</v>
      </c>
      <c r="B20" s="4" t="s">
        <v>68</v>
      </c>
      <c r="C20" s="4" t="s">
        <v>82</v>
      </c>
      <c r="D20" s="6" t="e">
        <f>'Data Input'!C21/'Data Input'!C17*100</f>
        <v>#DIV/0!</v>
      </c>
      <c r="E20" s="4"/>
    </row>
    <row r="21" spans="1:5" x14ac:dyDescent="0.25">
      <c r="A21" s="4" t="s">
        <v>51</v>
      </c>
      <c r="B21" s="4" t="s">
        <v>69</v>
      </c>
      <c r="C21" s="4" t="s">
        <v>83</v>
      </c>
      <c r="D21" s="6" t="e">
        <f>'Income Statement'!C23/Table1[[#This Row],[القيمة / Amount]]</f>
        <v>#DIV/0!</v>
      </c>
      <c r="E21" s="4"/>
    </row>
    <row r="22" spans="1:5" x14ac:dyDescent="0.25">
      <c r="A22" s="4"/>
      <c r="B22" s="4"/>
      <c r="C22" s="4"/>
      <c r="D22" s="6"/>
      <c r="E22" s="4"/>
    </row>
    <row r="23" spans="1:5" x14ac:dyDescent="0.25">
      <c r="A23" s="4" t="s">
        <v>52</v>
      </c>
      <c r="B23" s="4" t="s">
        <v>70</v>
      </c>
      <c r="C23" s="4"/>
      <c r="D23" s="6"/>
      <c r="E23" s="4"/>
    </row>
    <row r="24" spans="1:5" x14ac:dyDescent="0.25">
      <c r="A24" s="4" t="s">
        <v>53</v>
      </c>
      <c r="B24" s="4" t="s">
        <v>71</v>
      </c>
      <c r="C24" s="4" t="s">
        <v>84</v>
      </c>
      <c r="D24" s="6" t="e">
        <f>'Data Input'!C28/('Income Statement'!C27/'Data Input'!C29)*100</f>
        <v>#DIV/0!</v>
      </c>
      <c r="E24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selection activeCell="E4" sqref="E4"/>
    </sheetView>
  </sheetViews>
  <sheetFormatPr defaultRowHeight="15" x14ac:dyDescent="0.25"/>
  <cols>
    <col min="1" max="1" width="28.7109375" customWidth="1"/>
    <col min="2" max="2" width="21.7109375" customWidth="1"/>
    <col min="3" max="3" width="15.7109375" customWidth="1"/>
    <col min="4" max="4" width="14.7109375" customWidth="1"/>
    <col min="5" max="7" width="15.7109375" customWidth="1"/>
    <col min="8" max="8" width="18.140625" customWidth="1"/>
    <col min="9" max="9" width="17.7109375" customWidth="1"/>
    <col min="10" max="10" width="11.7109375" customWidth="1"/>
  </cols>
  <sheetData>
    <row r="1" spans="1:10" x14ac:dyDescent="0.25">
      <c r="A1" s="4" t="s">
        <v>32</v>
      </c>
      <c r="B1" s="4" t="s">
        <v>101</v>
      </c>
      <c r="C1" s="4" t="s">
        <v>102</v>
      </c>
      <c r="D1" s="4" t="s">
        <v>103</v>
      </c>
      <c r="E1" s="4" t="s">
        <v>104</v>
      </c>
      <c r="F1" s="4" t="s">
        <v>105</v>
      </c>
      <c r="G1" s="4" t="s">
        <v>106</v>
      </c>
      <c r="H1" s="4" t="s">
        <v>107</v>
      </c>
      <c r="I1" s="4" t="s">
        <v>108</v>
      </c>
      <c r="J1" s="4" t="s">
        <v>109</v>
      </c>
    </row>
    <row r="2" spans="1:10" x14ac:dyDescent="0.25">
      <c r="A2" s="4"/>
      <c r="B2" s="4"/>
      <c r="C2" s="8"/>
      <c r="D2" s="4"/>
      <c r="E2" s="8"/>
      <c r="F2" s="4"/>
      <c r="G2" s="8"/>
      <c r="H2" s="4"/>
      <c r="I2" s="8"/>
      <c r="J2" s="4"/>
    </row>
    <row r="3" spans="1:10" x14ac:dyDescent="0.25">
      <c r="A3" s="4" t="s">
        <v>0</v>
      </c>
      <c r="B3" s="4" t="s">
        <v>16</v>
      </c>
      <c r="C3" s="8" t="s">
        <v>164</v>
      </c>
      <c r="D3" s="4"/>
      <c r="E3" s="8" t="s">
        <v>164</v>
      </c>
      <c r="F3" s="4"/>
      <c r="G3" s="8" t="s">
        <v>164</v>
      </c>
      <c r="H3" s="4">
        <f>D3-F3</f>
        <v>0</v>
      </c>
      <c r="I3" s="8" t="s">
        <v>164</v>
      </c>
      <c r="J3" s="4" t="e">
        <f t="shared" ref="J3:J12" si="0">H3/F3</f>
        <v>#DIV/0!</v>
      </c>
    </row>
    <row r="4" spans="1:10" x14ac:dyDescent="0.25">
      <c r="A4" s="4" t="s">
        <v>1</v>
      </c>
      <c r="B4" s="4" t="s">
        <v>95</v>
      </c>
      <c r="C4" s="8" t="s">
        <v>164</v>
      </c>
      <c r="D4" s="4"/>
      <c r="E4" s="8" t="s">
        <v>164</v>
      </c>
      <c r="F4" s="4"/>
      <c r="G4" s="8" t="s">
        <v>164</v>
      </c>
      <c r="H4" s="4">
        <f t="shared" ref="H4:H12" si="1">D4-F4</f>
        <v>0</v>
      </c>
      <c r="I4" s="8" t="s">
        <v>164</v>
      </c>
      <c r="J4" s="4" t="e">
        <f t="shared" si="0"/>
        <v>#DIV/0!</v>
      </c>
    </row>
    <row r="5" spans="1:10" x14ac:dyDescent="0.25">
      <c r="A5" s="4" t="s">
        <v>2</v>
      </c>
      <c r="B5" s="4" t="s">
        <v>18</v>
      </c>
      <c r="C5" s="8" t="s">
        <v>164</v>
      </c>
      <c r="D5" s="4"/>
      <c r="E5" s="8" t="s">
        <v>164</v>
      </c>
      <c r="F5" s="4"/>
      <c r="G5" s="8" t="s">
        <v>164</v>
      </c>
      <c r="H5" s="4">
        <f t="shared" si="1"/>
        <v>0</v>
      </c>
      <c r="I5" s="8" t="s">
        <v>164</v>
      </c>
      <c r="J5" s="4" t="e">
        <f t="shared" si="0"/>
        <v>#DIV/0!</v>
      </c>
    </row>
    <row r="6" spans="1:10" x14ac:dyDescent="0.25">
      <c r="A6" s="4" t="s">
        <v>90</v>
      </c>
      <c r="B6" s="4" t="s">
        <v>96</v>
      </c>
      <c r="C6" s="8" t="s">
        <v>164</v>
      </c>
      <c r="D6" s="4"/>
      <c r="E6" s="8" t="s">
        <v>164</v>
      </c>
      <c r="F6" s="4"/>
      <c r="G6" s="8" t="s">
        <v>164</v>
      </c>
      <c r="H6" s="4">
        <f t="shared" si="1"/>
        <v>0</v>
      </c>
      <c r="I6" s="8" t="s">
        <v>164</v>
      </c>
      <c r="J6" s="4" t="e">
        <f t="shared" si="0"/>
        <v>#DIV/0!</v>
      </c>
    </row>
    <row r="7" spans="1:10" x14ac:dyDescent="0.25">
      <c r="A7" s="4" t="s">
        <v>91</v>
      </c>
      <c r="B7" s="4" t="s">
        <v>97</v>
      </c>
      <c r="C7" s="8" t="s">
        <v>164</v>
      </c>
      <c r="D7" s="4"/>
      <c r="E7" s="8" t="s">
        <v>164</v>
      </c>
      <c r="F7" s="4"/>
      <c r="G7" s="8" t="s">
        <v>164</v>
      </c>
      <c r="H7" s="4">
        <f t="shared" si="1"/>
        <v>0</v>
      </c>
      <c r="I7" s="8" t="s">
        <v>164</v>
      </c>
      <c r="J7" s="4" t="e">
        <f t="shared" si="0"/>
        <v>#DIV/0!</v>
      </c>
    </row>
    <row r="8" spans="1:10" x14ac:dyDescent="0.25">
      <c r="A8" s="4" t="s">
        <v>15</v>
      </c>
      <c r="B8" s="4" t="s">
        <v>98</v>
      </c>
      <c r="C8" s="8" t="s">
        <v>164</v>
      </c>
      <c r="D8" s="4"/>
      <c r="E8" s="8" t="s">
        <v>164</v>
      </c>
      <c r="F8" s="4"/>
      <c r="G8" s="8" t="s">
        <v>164</v>
      </c>
      <c r="H8" s="4">
        <f t="shared" si="1"/>
        <v>0</v>
      </c>
      <c r="I8" s="8" t="s">
        <v>164</v>
      </c>
      <c r="J8" s="4" t="e">
        <f t="shared" si="0"/>
        <v>#DIV/0!</v>
      </c>
    </row>
    <row r="9" spans="1:10" x14ac:dyDescent="0.25">
      <c r="A9" s="4"/>
      <c r="B9" s="4"/>
      <c r="C9" s="8" t="s">
        <v>164</v>
      </c>
      <c r="D9" s="4"/>
      <c r="E9" s="8" t="s">
        <v>164</v>
      </c>
      <c r="F9" s="4"/>
      <c r="G9" s="8" t="s">
        <v>164</v>
      </c>
      <c r="H9" s="4">
        <f t="shared" si="1"/>
        <v>0</v>
      </c>
      <c r="I9" s="8" t="s">
        <v>164</v>
      </c>
      <c r="J9" s="4" t="e">
        <f t="shared" si="0"/>
        <v>#DIV/0!</v>
      </c>
    </row>
    <row r="10" spans="1:10" x14ac:dyDescent="0.25">
      <c r="A10" s="4" t="s">
        <v>92</v>
      </c>
      <c r="B10" s="4" t="s">
        <v>99</v>
      </c>
      <c r="C10" s="8" t="s">
        <v>164</v>
      </c>
      <c r="D10" s="4"/>
      <c r="E10" s="8" t="s">
        <v>164</v>
      </c>
      <c r="F10" s="4"/>
      <c r="G10" s="8" t="s">
        <v>164</v>
      </c>
      <c r="H10" s="4">
        <f t="shared" si="1"/>
        <v>0</v>
      </c>
      <c r="I10" s="8" t="s">
        <v>164</v>
      </c>
      <c r="J10" s="4" t="e">
        <f t="shared" si="0"/>
        <v>#DIV/0!</v>
      </c>
    </row>
    <row r="11" spans="1:10" x14ac:dyDescent="0.25">
      <c r="A11" s="4" t="s">
        <v>93</v>
      </c>
      <c r="B11" s="4" t="s">
        <v>100</v>
      </c>
      <c r="C11" s="8" t="s">
        <v>164</v>
      </c>
      <c r="D11" s="4"/>
      <c r="E11" s="8" t="s">
        <v>164</v>
      </c>
      <c r="F11" s="4"/>
      <c r="G11" s="8" t="s">
        <v>164</v>
      </c>
      <c r="H11" s="4">
        <f t="shared" si="1"/>
        <v>0</v>
      </c>
      <c r="I11" s="8" t="s">
        <v>164</v>
      </c>
      <c r="J11" s="4" t="e">
        <f t="shared" si="0"/>
        <v>#DIV/0!</v>
      </c>
    </row>
    <row r="12" spans="1:10" x14ac:dyDescent="0.25">
      <c r="A12" s="4" t="s">
        <v>94</v>
      </c>
      <c r="B12" s="4" t="s">
        <v>55</v>
      </c>
      <c r="C12" s="8" t="s">
        <v>164</v>
      </c>
      <c r="D12" s="4"/>
      <c r="E12" s="8" t="s">
        <v>164</v>
      </c>
      <c r="F12" s="4"/>
      <c r="G12" s="8" t="s">
        <v>164</v>
      </c>
      <c r="H12" s="4">
        <f t="shared" si="1"/>
        <v>0</v>
      </c>
      <c r="I12" s="8" t="s">
        <v>164</v>
      </c>
      <c r="J12" s="4" t="e">
        <f t="shared" si="0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A8" sqref="A8"/>
    </sheetView>
  </sheetViews>
  <sheetFormatPr defaultRowHeight="15" x14ac:dyDescent="0.25"/>
  <cols>
    <col min="1" max="1" width="34.7109375" customWidth="1"/>
    <col min="2" max="2" width="50.7109375" customWidth="1"/>
    <col min="3" max="3" width="29.7109375" customWidth="1"/>
    <col min="4" max="4" width="8.7109375" customWidth="1"/>
  </cols>
  <sheetData>
    <row r="1" spans="1:5" x14ac:dyDescent="0.25">
      <c r="A1" s="4" t="s">
        <v>123</v>
      </c>
      <c r="B1" s="4" t="s">
        <v>158</v>
      </c>
      <c r="C1" s="4" t="s">
        <v>87</v>
      </c>
      <c r="D1" s="4" t="s">
        <v>124</v>
      </c>
      <c r="E1" s="4" t="s">
        <v>163</v>
      </c>
    </row>
    <row r="2" spans="1:5" x14ac:dyDescent="0.25">
      <c r="A2" s="4"/>
      <c r="B2" s="4"/>
      <c r="C2" s="4"/>
      <c r="D2" s="7"/>
      <c r="E2" s="4"/>
    </row>
    <row r="3" spans="1:5" x14ac:dyDescent="0.25">
      <c r="A3" s="4" t="s">
        <v>110</v>
      </c>
      <c r="B3" s="4" t="s">
        <v>114</v>
      </c>
      <c r="C3" s="4"/>
      <c r="D3" s="7"/>
      <c r="E3" s="4"/>
    </row>
    <row r="4" spans="1:5" x14ac:dyDescent="0.25">
      <c r="A4" s="4" t="s">
        <v>37</v>
      </c>
      <c r="B4" s="4" t="s">
        <v>55</v>
      </c>
      <c r="C4" s="4" t="s">
        <v>121</v>
      </c>
      <c r="D4" s="7" t="e">
        <f>'Income Statement'!C27/'Income Statement'!C3*100</f>
        <v>#DIV/0!</v>
      </c>
      <c r="E4" s="4" t="s">
        <v>163</v>
      </c>
    </row>
    <row r="5" spans="1:5" x14ac:dyDescent="0.25">
      <c r="A5" s="4" t="s">
        <v>111</v>
      </c>
      <c r="B5" s="4" t="s">
        <v>115</v>
      </c>
      <c r="C5" s="4" t="s">
        <v>78</v>
      </c>
      <c r="D5" s="7" t="e">
        <f>'Income Statement'!C3/'Data Input'!C17*100</f>
        <v>#DIV/0!</v>
      </c>
      <c r="E5" s="4" t="s">
        <v>163</v>
      </c>
    </row>
    <row r="6" spans="1:5" x14ac:dyDescent="0.25">
      <c r="A6" s="4" t="s">
        <v>112</v>
      </c>
      <c r="B6" s="4" t="s">
        <v>116</v>
      </c>
      <c r="C6" s="4" t="s">
        <v>122</v>
      </c>
      <c r="D6" s="7" t="e">
        <f>'Data Input'!C17/'Data Input'!C22*100</f>
        <v>#DIV/0!</v>
      </c>
      <c r="E6" s="4" t="s">
        <v>163</v>
      </c>
    </row>
    <row r="8" spans="1:5" x14ac:dyDescent="0.25">
      <c r="A8" s="4" t="s">
        <v>113</v>
      </c>
      <c r="B8" t="s">
        <v>117</v>
      </c>
    </row>
    <row r="9" spans="1:5" x14ac:dyDescent="0.25">
      <c r="B9" t="s">
        <v>118</v>
      </c>
    </row>
    <row r="10" spans="1:5" x14ac:dyDescent="0.25">
      <c r="B10" t="s">
        <v>119</v>
      </c>
    </row>
    <row r="11" spans="1:5" x14ac:dyDescent="0.25">
      <c r="B11" t="s">
        <v>120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tabSelected="1" zoomScale="86" workbookViewId="0">
      <selection activeCell="E9" sqref="E9:K12"/>
    </sheetView>
  </sheetViews>
  <sheetFormatPr defaultRowHeight="15" x14ac:dyDescent="0.25"/>
  <cols>
    <col min="1" max="1" width="38.7109375" customWidth="1"/>
    <col min="2" max="2" width="25.7109375" customWidth="1"/>
    <col min="3" max="3" width="11" customWidth="1"/>
  </cols>
  <sheetData>
    <row r="1" spans="1:11" x14ac:dyDescent="0.25">
      <c r="A1" s="1" t="s">
        <v>155</v>
      </c>
    </row>
    <row r="3" spans="1:11" x14ac:dyDescent="0.25">
      <c r="A3" t="s">
        <v>125</v>
      </c>
      <c r="B3" t="s">
        <v>138</v>
      </c>
      <c r="C3" t="s">
        <v>159</v>
      </c>
    </row>
    <row r="4" spans="1:11" x14ac:dyDescent="0.25">
      <c r="A4" t="s">
        <v>0</v>
      </c>
      <c r="B4" t="s">
        <v>16</v>
      </c>
    </row>
    <row r="5" spans="1:11" x14ac:dyDescent="0.25">
      <c r="A5" t="s">
        <v>1</v>
      </c>
      <c r="B5" t="s">
        <v>95</v>
      </c>
    </row>
    <row r="6" spans="1:11" x14ac:dyDescent="0.25">
      <c r="A6" t="s">
        <v>4</v>
      </c>
      <c r="B6" t="s">
        <v>139</v>
      </c>
    </row>
    <row r="7" spans="1:11" x14ac:dyDescent="0.25">
      <c r="A7" t="s">
        <v>5</v>
      </c>
      <c r="B7" t="s">
        <v>21</v>
      </c>
    </row>
    <row r="8" spans="1:11" x14ac:dyDescent="0.25">
      <c r="A8" t="s">
        <v>6</v>
      </c>
      <c r="B8" t="s">
        <v>140</v>
      </c>
    </row>
    <row r="9" spans="1:11" x14ac:dyDescent="0.25">
      <c r="A9" t="s">
        <v>10</v>
      </c>
      <c r="B9" t="s">
        <v>26</v>
      </c>
      <c r="E9" s="9" t="s">
        <v>165</v>
      </c>
      <c r="F9" s="9"/>
      <c r="G9" s="9"/>
      <c r="H9" s="9"/>
      <c r="I9" s="9"/>
      <c r="J9" s="9"/>
      <c r="K9" s="9"/>
    </row>
    <row r="10" spans="1:11" x14ac:dyDescent="0.25">
      <c r="A10" t="s">
        <v>11</v>
      </c>
      <c r="B10" t="s">
        <v>27</v>
      </c>
      <c r="E10" s="9"/>
      <c r="F10" s="9"/>
      <c r="G10" s="9"/>
      <c r="H10" s="9"/>
      <c r="I10" s="9"/>
      <c r="J10" s="9"/>
      <c r="K10" s="9"/>
    </row>
    <row r="11" spans="1:11" x14ac:dyDescent="0.25">
      <c r="A11" t="s">
        <v>126</v>
      </c>
      <c r="B11" t="s">
        <v>28</v>
      </c>
      <c r="E11" s="9"/>
      <c r="F11" s="9"/>
      <c r="G11" s="9"/>
      <c r="H11" s="9"/>
      <c r="I11" s="9"/>
      <c r="J11" s="9"/>
      <c r="K11" s="9"/>
    </row>
    <row r="12" spans="1:11" x14ac:dyDescent="0.25">
      <c r="A12" t="s">
        <v>14</v>
      </c>
      <c r="B12" t="s">
        <v>30</v>
      </c>
      <c r="E12" s="9"/>
      <c r="F12" s="9"/>
      <c r="G12" s="9"/>
      <c r="H12" s="9"/>
      <c r="I12" s="9"/>
      <c r="J12" s="9"/>
      <c r="K12" s="9"/>
    </row>
    <row r="14" spans="1:11" x14ac:dyDescent="0.25">
      <c r="A14" t="s">
        <v>127</v>
      </c>
      <c r="B14" t="s">
        <v>141</v>
      </c>
      <c r="C14" t="s">
        <v>159</v>
      </c>
    </row>
    <row r="15" spans="1:11" x14ac:dyDescent="0.25">
      <c r="A15" t="s">
        <v>157</v>
      </c>
      <c r="B15" t="s">
        <v>142</v>
      </c>
    </row>
    <row r="16" spans="1:11" x14ac:dyDescent="0.25">
      <c r="A16" t="s">
        <v>156</v>
      </c>
      <c r="B16" t="s">
        <v>143</v>
      </c>
    </row>
    <row r="17" spans="1:3" x14ac:dyDescent="0.25">
      <c r="A17" s="2" t="s">
        <v>128</v>
      </c>
      <c r="B17" s="2" t="s">
        <v>144</v>
      </c>
      <c r="C17" s="2"/>
    </row>
    <row r="19" spans="1:3" x14ac:dyDescent="0.25">
      <c r="A19" t="s">
        <v>160</v>
      </c>
      <c r="B19" t="s">
        <v>145</v>
      </c>
    </row>
    <row r="20" spans="1:3" x14ac:dyDescent="0.25">
      <c r="A20" t="s">
        <v>129</v>
      </c>
      <c r="B20" t="s">
        <v>146</v>
      </c>
    </row>
    <row r="21" spans="1:3" x14ac:dyDescent="0.25">
      <c r="A21" s="2" t="s">
        <v>130</v>
      </c>
      <c r="B21" s="2" t="s">
        <v>147</v>
      </c>
      <c r="C21" s="2"/>
    </row>
    <row r="22" spans="1:3" x14ac:dyDescent="0.25">
      <c r="A22" s="2" t="s">
        <v>131</v>
      </c>
      <c r="B22" s="2" t="s">
        <v>148</v>
      </c>
      <c r="C22" s="2"/>
    </row>
    <row r="24" spans="1:3" x14ac:dyDescent="0.25">
      <c r="A24" t="s">
        <v>132</v>
      </c>
      <c r="B24" t="s">
        <v>149</v>
      </c>
      <c r="C24" t="s">
        <v>159</v>
      </c>
    </row>
    <row r="25" spans="1:3" x14ac:dyDescent="0.25">
      <c r="A25" t="s">
        <v>133</v>
      </c>
      <c r="B25" t="s">
        <v>150</v>
      </c>
    </row>
    <row r="26" spans="1:3" x14ac:dyDescent="0.25">
      <c r="A26" t="s">
        <v>134</v>
      </c>
      <c r="B26" t="s">
        <v>151</v>
      </c>
    </row>
    <row r="27" spans="1:3" x14ac:dyDescent="0.25">
      <c r="A27" t="s">
        <v>135</v>
      </c>
      <c r="B27" t="s">
        <v>152</v>
      </c>
    </row>
    <row r="28" spans="1:3" x14ac:dyDescent="0.25">
      <c r="A28" t="s">
        <v>136</v>
      </c>
      <c r="B28" t="s">
        <v>153</v>
      </c>
    </row>
    <row r="29" spans="1:3" x14ac:dyDescent="0.25">
      <c r="A29" t="s">
        <v>137</v>
      </c>
      <c r="B29" t="s">
        <v>154</v>
      </c>
    </row>
    <row r="30" spans="1:3" x14ac:dyDescent="0.25">
      <c r="A30" t="s">
        <v>161</v>
      </c>
      <c r="B30" t="s">
        <v>162</v>
      </c>
    </row>
  </sheetData>
  <mergeCells count="1">
    <mergeCell ref="E9:K1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Financial Ratios</vt:lpstr>
      <vt:lpstr>Comparative Analysis</vt:lpstr>
      <vt:lpstr>DuPont Analysis</vt:lpstr>
      <vt:lpstr>Data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Mohalhal</cp:lastModifiedBy>
  <dcterms:created xsi:type="dcterms:W3CDTF">2025-12-08T15:16:29Z</dcterms:created>
  <dcterms:modified xsi:type="dcterms:W3CDTF">2025-12-15T21:23:24Z</dcterms:modified>
</cp:coreProperties>
</file>