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tc\OneDrive\Desktop\شغل\"/>
    </mc:Choice>
  </mc:AlternateContent>
  <xr:revisionPtr revIDLastSave="0" documentId="13_ncr:1_{177AF3EC-CE5D-4C2A-8024-C958F360B2DE}" xr6:coauthVersionLast="47" xr6:coauthVersionMax="47" xr10:uidLastSave="{00000000-0000-0000-0000-000000000000}"/>
  <bookViews>
    <workbookView xWindow="-120" yWindow="-120" windowWidth="20730" windowHeight="11040" tabRatio="772" xr2:uid="{00000000-000D-0000-FFFF-FFFF00000000}"/>
  </bookViews>
  <sheets>
    <sheet name="CS" sheetId="8" r:id="rId1"/>
    <sheet name="J1" sheetId="1" r:id="rId2"/>
    <sheet name="J2" sheetId="2" r:id="rId3"/>
    <sheet name="J3" sheetId="3" r:id="rId4"/>
    <sheet name="Ledger" sheetId="4" r:id="rId5"/>
    <sheet name="Worksheet" sheetId="5" r:id="rId6"/>
    <sheet name="Financial Statements" sheetId="6" r:id="rId7"/>
    <sheet name="Post-Closing TB" sheetId="7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1" i="5" l="1"/>
  <c r="G21" i="5" s="1"/>
  <c r="D20" i="5"/>
  <c r="F20" i="5" s="1"/>
  <c r="D19" i="5"/>
  <c r="F19" i="5" s="1"/>
  <c r="E18" i="5"/>
  <c r="G18" i="5" s="1"/>
  <c r="D17" i="5"/>
  <c r="F17" i="5" s="1"/>
  <c r="D16" i="5"/>
  <c r="B16" i="5"/>
  <c r="B15" i="5"/>
  <c r="F15" i="5" s="1"/>
  <c r="E14" i="5"/>
  <c r="C14" i="5"/>
  <c r="G14" i="5" s="1"/>
  <c r="B13" i="5"/>
  <c r="F13" i="5" s="1"/>
  <c r="C12" i="5"/>
  <c r="G12" i="5" s="1"/>
  <c r="C11" i="5"/>
  <c r="G11" i="5" s="1"/>
  <c r="B52" i="6" s="1"/>
  <c r="B10" i="5"/>
  <c r="F10" i="5" s="1"/>
  <c r="E9" i="5"/>
  <c r="B9" i="5"/>
  <c r="E8" i="5"/>
  <c r="B8" i="5"/>
  <c r="D7" i="5"/>
  <c r="B7" i="5"/>
  <c r="B6" i="5"/>
  <c r="F6" i="5" s="1"/>
  <c r="D111" i="4"/>
  <c r="F113" i="4" s="1"/>
  <c r="F110" i="4"/>
  <c r="D110" i="4"/>
  <c r="F111" i="4" s="1"/>
  <c r="F104" i="4"/>
  <c r="D104" i="4"/>
  <c r="F98" i="4"/>
  <c r="D98" i="4"/>
  <c r="F99" i="4" s="1"/>
  <c r="F92" i="4"/>
  <c r="D92" i="4"/>
  <c r="F93" i="4" s="1"/>
  <c r="F86" i="4"/>
  <c r="D86" i="4"/>
  <c r="E80" i="4"/>
  <c r="E79" i="4"/>
  <c r="F80" i="4" s="1"/>
  <c r="F78" i="4"/>
  <c r="E78" i="4"/>
  <c r="F72" i="4"/>
  <c r="D72" i="4"/>
  <c r="F61" i="4"/>
  <c r="E61" i="4"/>
  <c r="F62" i="4" s="1"/>
  <c r="F57" i="4"/>
  <c r="F56" i="4"/>
  <c r="E56" i="4"/>
  <c r="F52" i="4"/>
  <c r="D51" i="4"/>
  <c r="F51" i="4" s="1"/>
  <c r="F50" i="4"/>
  <c r="E50" i="4"/>
  <c r="F49" i="4"/>
  <c r="E49" i="4"/>
  <c r="F44" i="4"/>
  <c r="E44" i="4"/>
  <c r="F45" i="4" s="1"/>
  <c r="F39" i="4"/>
  <c r="D39" i="4"/>
  <c r="F40" i="4" s="1"/>
  <c r="B9" i="7" s="1"/>
  <c r="F35" i="4"/>
  <c r="B8" i="7" s="1"/>
  <c r="E34" i="4"/>
  <c r="F33" i="4"/>
  <c r="D33" i="4"/>
  <c r="F34" i="4" s="1"/>
  <c r="F28" i="4"/>
  <c r="E28" i="4"/>
  <c r="F27" i="4"/>
  <c r="D27" i="4"/>
  <c r="F29" i="4" s="1"/>
  <c r="B7" i="7" s="1"/>
  <c r="F22" i="4"/>
  <c r="D22" i="4"/>
  <c r="D21" i="4"/>
  <c r="F21" i="4" s="1"/>
  <c r="E20" i="4"/>
  <c r="F20" i="4" s="1"/>
  <c r="F19" i="4"/>
  <c r="D19" i="4"/>
  <c r="F23" i="4" s="1"/>
  <c r="B6" i="7" s="1"/>
  <c r="E14" i="4"/>
  <c r="E13" i="4"/>
  <c r="D12" i="4"/>
  <c r="E11" i="4"/>
  <c r="E10" i="4"/>
  <c r="E9" i="4"/>
  <c r="E8" i="4"/>
  <c r="D7" i="4"/>
  <c r="F13" i="4" s="1"/>
  <c r="E19" i="3"/>
  <c r="E73" i="4" s="1"/>
  <c r="F74" i="4" s="1"/>
  <c r="D18" i="3"/>
  <c r="D67" i="4" s="1"/>
  <c r="E13" i="3"/>
  <c r="E105" i="4" s="1"/>
  <c r="E12" i="3"/>
  <c r="E99" i="4" s="1"/>
  <c r="F100" i="4" s="1"/>
  <c r="E11" i="3"/>
  <c r="E87" i="4" s="1"/>
  <c r="F87" i="4" s="1"/>
  <c r="E10" i="3"/>
  <c r="E93" i="4" s="1"/>
  <c r="F94" i="4" s="1"/>
  <c r="E9" i="3"/>
  <c r="E112" i="4" s="1"/>
  <c r="D8" i="3"/>
  <c r="E6" i="3"/>
  <c r="D5" i="3"/>
  <c r="D15" i="3" s="1"/>
  <c r="E16" i="3" s="1"/>
  <c r="E66" i="4" s="1"/>
  <c r="F66" i="4" s="1"/>
  <c r="F8" i="5" l="1"/>
  <c r="D22" i="5"/>
  <c r="E22" i="5"/>
  <c r="F9" i="5"/>
  <c r="B38" i="6" s="1"/>
  <c r="F7" i="5"/>
  <c r="C22" i="5"/>
  <c r="F16" i="5"/>
  <c r="H16" i="5" s="1"/>
  <c r="B9" i="6"/>
  <c r="H17" i="5"/>
  <c r="B12" i="6"/>
  <c r="B35" i="6"/>
  <c r="F88" i="4"/>
  <c r="B24" i="6"/>
  <c r="B13" i="6"/>
  <c r="H19" i="5"/>
  <c r="I14" i="5"/>
  <c r="I22" i="5" s="1"/>
  <c r="C6" i="6"/>
  <c r="H20" i="5"/>
  <c r="B10" i="6"/>
  <c r="F106" i="4"/>
  <c r="F105" i="4"/>
  <c r="F73" i="4"/>
  <c r="F68" i="4"/>
  <c r="F67" i="4"/>
  <c r="B41" i="6"/>
  <c r="H15" i="5"/>
  <c r="B11" i="6"/>
  <c r="F9" i="4"/>
  <c r="F10" i="4"/>
  <c r="F14" i="4"/>
  <c r="D81" i="4"/>
  <c r="G22" i="5"/>
  <c r="B53" i="6"/>
  <c r="C54" i="6" s="1"/>
  <c r="F15" i="4"/>
  <c r="B5" i="7" s="1"/>
  <c r="B15" i="7" s="1"/>
  <c r="F7" i="4"/>
  <c r="F11" i="4"/>
  <c r="B22" i="5"/>
  <c r="B34" i="6"/>
  <c r="B48" i="6"/>
  <c r="F8" i="4"/>
  <c r="F12" i="4"/>
  <c r="F112" i="4"/>
  <c r="F79" i="4"/>
  <c r="B39" i="6" l="1"/>
  <c r="H22" i="5"/>
  <c r="H23" i="5" s="1"/>
  <c r="H24" i="5" s="1"/>
  <c r="C36" i="6"/>
  <c r="F22" i="5"/>
  <c r="B40" i="6"/>
  <c r="F82" i="4"/>
  <c r="F81" i="4"/>
  <c r="A17" i="7"/>
  <c r="I24" i="5"/>
  <c r="C14" i="6"/>
  <c r="C15" i="6" s="1"/>
  <c r="B23" i="6" s="1"/>
  <c r="C25" i="6" s="1"/>
  <c r="B49" i="6" s="1"/>
  <c r="C50" i="6" s="1"/>
  <c r="C55" i="6" s="1"/>
  <c r="C42" i="6" l="1"/>
  <c r="C43" i="6" s="1"/>
</calcChain>
</file>

<file path=xl/sharedStrings.xml><?xml version="1.0" encoding="utf-8"?>
<sst xmlns="http://schemas.openxmlformats.org/spreadsheetml/2006/main" count="559" uniqueCount="194">
  <si>
    <t>TARA'S MAIDS CLEANING SERVICE, LTD.</t>
  </si>
  <si>
    <t>General Journal – Page J1</t>
  </si>
  <si>
    <t>For the Month Ended July 31, 2017</t>
  </si>
  <si>
    <t>Date</t>
  </si>
  <si>
    <t>Account Titles and Explanation</t>
  </si>
  <si>
    <t>Ref.</t>
  </si>
  <si>
    <t>Debit (£)</t>
  </si>
  <si>
    <t>Credit (£)</t>
  </si>
  <si>
    <t>Jul 1</t>
  </si>
  <si>
    <t>Cash</t>
  </si>
  <si>
    <t>101</t>
  </si>
  <si>
    <t xml:space="preserve">  Share Capital—Ordinary</t>
  </si>
  <si>
    <t>311</t>
  </si>
  <si>
    <t>(Shareholders invested cash for ordinary shares)</t>
  </si>
  <si>
    <t>Equipment</t>
  </si>
  <si>
    <t>157</t>
  </si>
  <si>
    <t xml:space="preserve">  Cash</t>
  </si>
  <si>
    <t xml:space="preserve">  Accounts Payable</t>
  </si>
  <si>
    <t>201</t>
  </si>
  <si>
    <t>(Purchased truck; £3,000 cash + £7,000 on account)</t>
  </si>
  <si>
    <t>Jul 3</t>
  </si>
  <si>
    <t>Supplies</t>
  </si>
  <si>
    <t>126</t>
  </si>
  <si>
    <t>(Purchased cleaning supplies on account)</t>
  </si>
  <si>
    <t>Jul 5</t>
  </si>
  <si>
    <t>Prepaid Insurance</t>
  </si>
  <si>
    <t>130</t>
  </si>
  <si>
    <t>(Paid 1-year insurance policy, effective July 1)</t>
  </si>
  <si>
    <t>Jul 12</t>
  </si>
  <si>
    <t>Accounts Receivable</t>
  </si>
  <si>
    <t>112</t>
  </si>
  <si>
    <t xml:space="preserve">  Service Revenue</t>
  </si>
  <si>
    <t>400</t>
  </si>
  <si>
    <t>(Billed customers for cleaning services)</t>
  </si>
  <si>
    <t>Jul 18</t>
  </si>
  <si>
    <t>Accounts Payable</t>
  </si>
  <si>
    <t>(Paid £1,000 on truck + £400 on supplies)</t>
  </si>
  <si>
    <t>Jul 20</t>
  </si>
  <si>
    <t>Salaries and Wages Expense</t>
  </si>
  <si>
    <t>726</t>
  </si>
  <si>
    <t>(Paid employee salaries)</t>
  </si>
  <si>
    <t>Jul 21</t>
  </si>
  <si>
    <t xml:space="preserve">  Accounts Receivable</t>
  </si>
  <si>
    <t>(Collected from customers billed July 12)</t>
  </si>
  <si>
    <t>Jul 25</t>
  </si>
  <si>
    <t>Jul 31</t>
  </si>
  <si>
    <t>Gasoline Expense</t>
  </si>
  <si>
    <t>633</t>
  </si>
  <si>
    <t>(Paid gasoline expense for the month)</t>
  </si>
  <si>
    <t>Dividends</t>
  </si>
  <si>
    <t>332</t>
  </si>
  <si>
    <t>(Declared and paid cash dividend)</t>
  </si>
  <si>
    <t>General Journal – Page J2 (Adjusting Entries)</t>
  </si>
  <si>
    <t>July 31, 2017</t>
  </si>
  <si>
    <t>(Unbilled fees for services performed at July 31)</t>
  </si>
  <si>
    <t>Depreciation Expense</t>
  </si>
  <si>
    <t>711</t>
  </si>
  <si>
    <t xml:space="preserve">  Accum. Depr.—Equipment</t>
  </si>
  <si>
    <t>158</t>
  </si>
  <si>
    <t>(Depreciation on equipment for July)</t>
  </si>
  <si>
    <t>Insurance Expense</t>
  </si>
  <si>
    <t>722</t>
  </si>
  <si>
    <t xml:space="preserve">  Prepaid Insurance</t>
  </si>
  <si>
    <t>(1/12 of £1,800 annual insurance expired)</t>
  </si>
  <si>
    <t>Supplies Expense</t>
  </si>
  <si>
    <t>631</t>
  </si>
  <si>
    <t xml:space="preserve">  Supplies</t>
  </si>
  <si>
    <t>(Supplies used: £1,700 − £280 on hand)</t>
  </si>
  <si>
    <t xml:space="preserve">  Salaries and Wages Payable</t>
  </si>
  <si>
    <t>212</t>
  </si>
  <si>
    <t>(Accrued but unpaid salaries at July 31)</t>
  </si>
  <si>
    <t>General Journal – Page J3 (Closing Entries)</t>
  </si>
  <si>
    <t>Service Revenue</t>
  </si>
  <si>
    <t xml:space="preserve">  Income Summary</t>
  </si>
  <si>
    <t>350</t>
  </si>
  <si>
    <t>(Close revenue accounts to Income Summary)</t>
  </si>
  <si>
    <t>Income Summary</t>
  </si>
  <si>
    <t xml:space="preserve">  Salaries and Wages Expense</t>
  </si>
  <si>
    <t xml:space="preserve">  Supplies Expense</t>
  </si>
  <si>
    <t xml:space="preserve">  Gasoline Expense</t>
  </si>
  <si>
    <t xml:space="preserve">  Depreciation Expense</t>
  </si>
  <si>
    <t xml:space="preserve">  Insurance Expense</t>
  </si>
  <si>
    <t>(Close expense accounts to Income Summary)</t>
  </si>
  <si>
    <t xml:space="preserve">  Retained Earnings</t>
  </si>
  <si>
    <t>320</t>
  </si>
  <si>
    <t>(Close Income Summary to Retained Earnings)</t>
  </si>
  <si>
    <t>Retained Earnings</t>
  </si>
  <si>
    <t xml:space="preserve">  Dividends</t>
  </si>
  <si>
    <t>(Close Dividends to Retained Earnings)</t>
  </si>
  <si>
    <t>General Ledger – T-Accounts</t>
  </si>
  <si>
    <t>Cash  –  No. 101</t>
  </si>
  <si>
    <t>Explanation</t>
  </si>
  <si>
    <t>Balance (£)</t>
  </si>
  <si>
    <t>J1</t>
  </si>
  <si>
    <t>Closing Balance</t>
  </si>
  <si>
    <t>Accounts Receivable  –  No. 112</t>
  </si>
  <si>
    <t>Adj J2</t>
  </si>
  <si>
    <t>J2</t>
  </si>
  <si>
    <t>Supplies  –  No. 126</t>
  </si>
  <si>
    <t>Prepaid Insurance  –  No. 130</t>
  </si>
  <si>
    <t>Equipment  –  No. 157</t>
  </si>
  <si>
    <t>Accum. Depr.—Equipment  –  No. 158</t>
  </si>
  <si>
    <t>Accounts Payable  –  No. 201</t>
  </si>
  <si>
    <t>Salaries &amp; Wages Payable  –  No. 212</t>
  </si>
  <si>
    <t>Share Capital—Ordinary  –  No. 311</t>
  </si>
  <si>
    <t>Retained Earnings  –  No. 320</t>
  </si>
  <si>
    <t>Closing J3</t>
  </si>
  <si>
    <t>J3</t>
  </si>
  <si>
    <t>Dividends  –  No. 332</t>
  </si>
  <si>
    <t>Service Revenue  –  No. 400</t>
  </si>
  <si>
    <t>Gasoline Expense  –  No. 633</t>
  </si>
  <si>
    <t>Supplies Expense  –  No. 631</t>
  </si>
  <si>
    <t>Depreciation Expense  –  No. 711</t>
  </si>
  <si>
    <t>Insurance Expense  –  No. 722</t>
  </si>
  <si>
    <t>Salaries &amp; Wages Expense  –  No. 726</t>
  </si>
  <si>
    <t>Worksheet</t>
  </si>
  <si>
    <t>Account Titles</t>
  </si>
  <si>
    <t>Trial Balance</t>
  </si>
  <si>
    <t>Adjustments</t>
  </si>
  <si>
    <t>Adjusted Trial Bal.</t>
  </si>
  <si>
    <t>Income Statement</t>
  </si>
  <si>
    <t>Dr.</t>
  </si>
  <si>
    <t>Cr.</t>
  </si>
  <si>
    <t>Share Capital—Ordinary</t>
  </si>
  <si>
    <t>Salaries &amp; Wages Expense</t>
  </si>
  <si>
    <t>Accum. Depr.—Equipment</t>
  </si>
  <si>
    <t>Salaries &amp; Wages Payable</t>
  </si>
  <si>
    <t>Totals</t>
  </si>
  <si>
    <t>Net Income</t>
  </si>
  <si>
    <t>Final Totals</t>
  </si>
  <si>
    <t>Revenues</t>
  </si>
  <si>
    <t>Expenses</t>
  </si>
  <si>
    <t xml:space="preserve">    Salaries &amp; Wages Expense</t>
  </si>
  <si>
    <t xml:space="preserve">    Supplies Expense</t>
  </si>
  <si>
    <t xml:space="preserve">    Gasoline Expense</t>
  </si>
  <si>
    <t xml:space="preserve">    Depreciation Expense</t>
  </si>
  <si>
    <t xml:space="preserve">    Insurance Expense</t>
  </si>
  <si>
    <t>Total Expenses</t>
  </si>
  <si>
    <t>Retained Earnings Statement</t>
  </si>
  <si>
    <t>Retained Earnings, July 1</t>
  </si>
  <si>
    <t xml:space="preserve">    Add: Net Income</t>
  </si>
  <si>
    <t xml:space="preserve">    Less: Dividends</t>
  </si>
  <si>
    <t>Retained Earnings, July 31</t>
  </si>
  <si>
    <t>Statement of Financial Position</t>
  </si>
  <si>
    <t>ASSETS</t>
  </si>
  <si>
    <t>Property, Plant, and Equipment</t>
  </si>
  <si>
    <t xml:space="preserve">    Equipment</t>
  </si>
  <si>
    <t xml:space="preserve">        Less: Accumulated Depreciation—Equipment</t>
  </si>
  <si>
    <t>Net Equipment</t>
  </si>
  <si>
    <t>Current Assets</t>
  </si>
  <si>
    <t xml:space="preserve">    Prepaid Insurance</t>
  </si>
  <si>
    <t xml:space="preserve">    Supplies</t>
  </si>
  <si>
    <t xml:space="preserve">    Accounts Receivable</t>
  </si>
  <si>
    <t xml:space="preserve">    Cash</t>
  </si>
  <si>
    <t>Total Current Assets</t>
  </si>
  <si>
    <t>TOTAL ASSETS</t>
  </si>
  <si>
    <t>EQUITY AND LIABILITIES</t>
  </si>
  <si>
    <t>Equity</t>
  </si>
  <si>
    <t xml:space="preserve">    Share Capital—Ordinary</t>
  </si>
  <si>
    <t xml:space="preserve">    Retained Earnings</t>
  </si>
  <si>
    <t>Total Equity</t>
  </si>
  <si>
    <t>Current Liabilities</t>
  </si>
  <si>
    <t xml:space="preserve">    Accounts Payable</t>
  </si>
  <si>
    <t xml:space="preserve">    Salaries and Wages Payable</t>
  </si>
  <si>
    <t>Total Current Liabilities</t>
  </si>
  <si>
    <t>TOTAL EQUITY AND LIABILITIES</t>
  </si>
  <si>
    <t>Post-Closing Trial Balance</t>
  </si>
  <si>
    <t>Account Title</t>
  </si>
  <si>
    <t>Case Study: Tara's Maids Cleaning Service, Ltd.</t>
  </si>
  <si>
    <t>Tara Harris opened Tara's Maids Cleaning Service, Ltd. on July 1, 2017. During July, the company completed the following transactions: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</si>
  <si>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3"/>
        <color theme="1"/>
        <rFont val="Aptos"/>
        <family val="2"/>
      </rPr>
      <t>July 1: Shareholders invested £15,000 cash in the business in exchange for ordinary shares.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</si>
  <si>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3"/>
        <color theme="1"/>
        <rFont val="Aptos"/>
        <family val="2"/>
      </rPr>
      <t>July 1: Purchased a used truck for £10,000, paying £3,000 cash and the balance on account.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</si>
  <si>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3"/>
        <color theme="1"/>
        <rFont val="Aptos"/>
        <family val="2"/>
      </rPr>
      <t>July 3: Purchased cleaning supplies for £1,700 on account.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</si>
  <si>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3"/>
        <color theme="1"/>
        <rFont val="Aptos"/>
        <family val="2"/>
      </rPr>
      <t>July 5: Paid £1,800 on a one-year insurance policy, effective July 1.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</si>
  <si>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3"/>
        <color theme="1"/>
        <rFont val="Aptos"/>
        <family val="2"/>
      </rPr>
      <t>July 12: Billed customers £4,200 for cleaning services performed.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</si>
  <si>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3"/>
        <color theme="1"/>
        <rFont val="Aptos"/>
        <family val="2"/>
      </rPr>
      <t>July 18: Paid £1,000 of amount owed on truck, and £400 of amount owed on cleaning supplies.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</si>
  <si>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3"/>
        <color theme="1"/>
        <rFont val="Aptos"/>
        <family val="2"/>
      </rPr>
      <t>July 20: Paid £1,900 for employee salaries.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</si>
  <si>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3"/>
        <color theme="1"/>
        <rFont val="Aptos"/>
        <family val="2"/>
      </rPr>
      <t>July 21: Collected £2,400 from customers billed on July 12.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</si>
  <si>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3"/>
        <color theme="1"/>
        <rFont val="Aptos"/>
        <family val="2"/>
      </rPr>
      <t>July 25: Billed customers £2,100 for cleaning services performed.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</si>
  <si>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3"/>
        <color theme="1"/>
        <rFont val="Aptos"/>
        <family val="2"/>
      </rPr>
      <t>July 31: Paid gasoline for the month on the truck, £400.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</si>
  <si>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3"/>
        <color theme="1"/>
        <rFont val="Aptos"/>
        <family val="2"/>
      </rPr>
      <t>July 31: Declared and paid a £500 cash dividend.</t>
    </r>
  </si>
  <si>
    <t>Instructions: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</si>
  <si>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3"/>
        <color theme="1"/>
        <rFont val="Aptos"/>
        <family val="2"/>
      </rPr>
      <t>Journalize and post the July transactions using page J1 for the journal.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</si>
  <si>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3"/>
        <color theme="1"/>
        <rFont val="Aptos"/>
        <family val="2"/>
      </rPr>
      <t>Prepare a trial balance at July 31 on a worksheet.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</si>
  <si>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3"/>
        <color theme="1"/>
        <rFont val="Aptos"/>
        <family val="2"/>
      </rPr>
      <t>Enter the following adjustments on the worksheet and complete it: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</si>
  <si>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3"/>
        <color theme="1"/>
        <rFont val="Aptos"/>
        <family val="2"/>
      </rPr>
      <t>Unbilled fees for services performed at July 31 were £1,300.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</si>
  <si>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3"/>
        <color theme="1"/>
        <rFont val="Aptos"/>
        <family val="2"/>
      </rPr>
      <t>Depreciation on equipment for the month was £200.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</si>
  <si>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3"/>
        <color theme="1"/>
        <rFont val="Aptos"/>
        <family val="2"/>
      </rPr>
      <t>One-twelfth of the insurance expired.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</si>
  <si>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3"/>
        <color theme="1"/>
        <rFont val="Aptos"/>
        <family val="2"/>
      </rPr>
      <t>An inventory count shows £280 of cleaning supplies on hand at July 31.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</si>
  <si>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3"/>
        <color theme="1"/>
        <rFont val="Aptos"/>
        <family val="2"/>
      </rPr>
      <t>Accrued but unpaid employee salaries were £630.</t>
    </r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</si>
  <si>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3"/>
        <color theme="1"/>
        <rFont val="Aptos"/>
        <family val="2"/>
      </rPr>
      <t>Prepare the financial statements (Income Statement, Retained Earnings Statement, and Classified Statement of Financial Position) at July 31, 2017.</t>
    </r>
  </si>
  <si>
    <r>
      <t>5.</t>
    </r>
    <r>
      <rPr>
        <sz val="7"/>
        <color theme="1"/>
        <rFont val="Times New Roman"/>
        <family val="1"/>
      </rPr>
      <t xml:space="preserve">     </t>
    </r>
    <r>
      <rPr>
        <sz val="13"/>
        <color theme="1"/>
        <rFont val="Aptos"/>
        <family val="2"/>
      </rPr>
      <t>Journalize and post adjusting entries using page J2.</t>
    </r>
  </si>
  <si>
    <r>
      <t>6.</t>
    </r>
    <r>
      <rPr>
        <sz val="7"/>
        <color theme="1"/>
        <rFont val="Times New Roman"/>
        <family val="1"/>
      </rPr>
      <t xml:space="preserve">     </t>
    </r>
    <r>
      <rPr>
        <sz val="13"/>
        <color theme="1"/>
        <rFont val="Aptos"/>
        <family val="2"/>
      </rPr>
      <t>Journalize and post-closing entries using page J3 and complete the closing process.</t>
    </r>
  </si>
  <si>
    <r>
      <t>7.</t>
    </r>
    <r>
      <rPr>
        <sz val="7"/>
        <color theme="1"/>
        <rFont val="Times New Roman"/>
        <family val="1"/>
      </rPr>
      <t xml:space="preserve">     </t>
    </r>
    <r>
      <rPr>
        <sz val="13"/>
        <color theme="1"/>
        <rFont val="Aptos"/>
        <family val="2"/>
      </rPr>
      <t>Prepare a post-closing trial balance at July 31.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</si>
</sst>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;&quot;(£&quot;#,##0\);\-"/>
  </numFmts>
  <fonts count="28" x14ac:knownFonts="1">
    <font>
      <sz val="11"/>
      <color theme="1"/>
      <name val="Calibri"/>
      <family val="2"/>
      <charset val="1"/>
    </font>
    <font>
      <b/>
      <sz val="14"/>
      <color rgb="FFFFFFFF"/>
      <name val="Calibri"/>
      <family val="2"/>
    </font>
    <font>
      <b/>
      <sz val="12"/>
      <color rgb="FFFFFFFF"/>
      <name val="Calibri"/>
      <family val="2"/>
    </font>
    <font>
      <b/>
      <i/>
      <sz val="11"/>
      <color rgb="FF1F3864"/>
      <name val="Calibri"/>
      <family val="2"/>
    </font>
    <font>
      <b/>
      <sz val="10"/>
      <color rgb="FFFFFFFF"/>
      <name val="Calibri"/>
      <family val="2"/>
    </font>
    <font>
      <sz val="11"/>
      <color rgb="FF1F3864"/>
      <name val="Calibri"/>
      <family val="2"/>
    </font>
    <font>
      <sz val="11"/>
      <color rgb="FF2E75B6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Calibri"/>
      <family val="2"/>
    </font>
    <font>
      <sz val="11"/>
      <color rgb="FF777777"/>
      <name val="Calibri"/>
      <family val="2"/>
    </font>
    <font>
      <i/>
      <sz val="11"/>
      <color rgb="FF777777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0"/>
      <color rgb="FF1F3864"/>
      <name val="Calibri"/>
      <family val="2"/>
    </font>
    <font>
      <i/>
      <sz val="10"/>
      <color rgb="FF444444"/>
      <name val="Calibri"/>
      <family val="2"/>
    </font>
    <font>
      <b/>
      <i/>
      <sz val="11"/>
      <color rgb="FF375623"/>
      <name val="Calibri"/>
      <family val="2"/>
    </font>
    <font>
      <b/>
      <sz val="11"/>
      <color rgb="FF375623"/>
      <name val="Calibri"/>
      <family val="2"/>
    </font>
    <font>
      <b/>
      <sz val="11"/>
      <color rgb="FF1F3864"/>
      <name val="Calibri"/>
      <family val="2"/>
    </font>
    <font>
      <b/>
      <sz val="12"/>
      <color rgb="FF375623"/>
      <name val="Calibri"/>
      <family val="2"/>
    </font>
    <font>
      <b/>
      <sz val="18"/>
      <color theme="1"/>
      <name val="Aptos"/>
      <family val="2"/>
    </font>
    <font>
      <b/>
      <sz val="14"/>
      <color theme="1"/>
      <name val="Aptos"/>
      <family val="2"/>
    </font>
    <font>
      <sz val="10"/>
      <color theme="1"/>
      <name val="Symbol"/>
      <family val="1"/>
      <charset val="2"/>
    </font>
    <font>
      <sz val="7"/>
      <color theme="1"/>
      <name val="Times New Roman"/>
      <family val="1"/>
    </font>
    <font>
      <sz val="13"/>
      <color theme="1"/>
      <name val="Aptos"/>
      <family val="2"/>
    </font>
    <font>
      <b/>
      <sz val="13"/>
      <color theme="1"/>
      <name val="Aptos"/>
      <family val="2"/>
    </font>
    <font>
      <sz val="10"/>
      <color theme="1"/>
      <name val="Courier New"/>
      <family val="3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366092"/>
      </patternFill>
    </fill>
    <fill>
      <patternFill patternType="solid">
        <fgColor rgb="FFD6E4F0"/>
        <bgColor rgb="FFD9E1F2"/>
      </patternFill>
    </fill>
    <fill>
      <patternFill patternType="solid">
        <fgColor rgb="FFFFFFFF"/>
        <bgColor rgb="FFF2F2F2"/>
      </patternFill>
    </fill>
    <fill>
      <patternFill patternType="solid">
        <fgColor rgb="FFDEEAF1"/>
        <bgColor rgb="FFD6E4F0"/>
      </patternFill>
    </fill>
    <fill>
      <patternFill patternType="solid">
        <fgColor rgb="FFEBF3FB"/>
        <bgColor rgb="FFF2F2F2"/>
      </patternFill>
    </fill>
    <fill>
      <patternFill patternType="solid">
        <fgColor rgb="FFE2EFDA"/>
        <bgColor rgb="FFDEEAF1"/>
      </patternFill>
    </fill>
    <fill>
      <patternFill patternType="solid">
        <fgColor rgb="FFF2F2F2"/>
        <bgColor rgb="FFEBF3FB"/>
      </patternFill>
    </fill>
    <fill>
      <patternFill patternType="solid">
        <fgColor rgb="FFBDD7EE"/>
        <bgColor rgb="FFD6E4F0"/>
      </patternFill>
    </fill>
    <fill>
      <patternFill patternType="solid">
        <fgColor rgb="FFD9E1F2"/>
        <bgColor rgb="FFD6E4F0"/>
      </patternFill>
    </fill>
  </fills>
  <borders count="7">
    <border>
      <left/>
      <right/>
      <top/>
      <bottom/>
      <diagonal/>
    </border>
    <border>
      <left style="thick">
        <color rgb="FF1F3864"/>
      </left>
      <right/>
      <top style="thick">
        <color rgb="FF1F3864"/>
      </top>
      <bottom style="thick">
        <color rgb="FF1F3864"/>
      </bottom>
      <diagonal/>
    </border>
    <border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ck">
        <color rgb="FF1F3864"/>
      </left>
      <right style="thick">
        <color rgb="FF1F3864"/>
      </right>
      <top style="thick">
        <color rgb="FF1F3864"/>
      </top>
      <bottom style="thick">
        <color rgb="FF1F38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rgb="FF2E75B6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4" fillId="2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center" vertical="center"/>
    </xf>
    <xf numFmtId="164" fontId="7" fillId="6" borderId="5" xfId="0" applyNumberFormat="1" applyFont="1" applyFill="1" applyBorder="1" applyAlignment="1">
      <alignment horizontal="right" vertical="center"/>
    </xf>
    <xf numFmtId="0" fontId="8" fillId="5" borderId="5" xfId="0" applyFont="1" applyFill="1" applyBorder="1" applyAlignment="1">
      <alignment horizontal="left" vertical="center"/>
    </xf>
    <xf numFmtId="0" fontId="5" fillId="7" borderId="5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left" vertical="center"/>
    </xf>
    <xf numFmtId="0" fontId="6" fillId="7" borderId="5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left" vertical="center"/>
    </xf>
    <xf numFmtId="164" fontId="8" fillId="8" borderId="5" xfId="0" applyNumberFormat="1" applyFont="1" applyFill="1" applyBorder="1" applyAlignment="1">
      <alignment horizontal="right" vertical="center"/>
    </xf>
    <xf numFmtId="0" fontId="10" fillId="9" borderId="6" xfId="0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left" vertical="center"/>
    </xf>
    <xf numFmtId="0" fontId="6" fillId="9" borderId="6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left" vertical="center"/>
    </xf>
    <xf numFmtId="0" fontId="5" fillId="7" borderId="5" xfId="0" applyFont="1" applyFill="1" applyBorder="1" applyAlignment="1">
      <alignment horizontal="left" vertical="center"/>
    </xf>
    <xf numFmtId="0" fontId="9" fillId="5" borderId="5" xfId="0" applyFont="1" applyFill="1" applyBorder="1" applyAlignment="1">
      <alignment horizontal="left" vertical="center"/>
    </xf>
    <xf numFmtId="0" fontId="10" fillId="9" borderId="5" xfId="0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horizontal="left" vertical="center"/>
    </xf>
    <xf numFmtId="0" fontId="6" fillId="9" borderId="5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left" vertical="center"/>
    </xf>
    <xf numFmtId="164" fontId="12" fillId="6" borderId="5" xfId="0" applyNumberFormat="1" applyFont="1" applyFill="1" applyBorder="1" applyAlignment="1">
      <alignment horizontal="right"/>
    </xf>
    <xf numFmtId="164" fontId="13" fillId="8" borderId="5" xfId="0" applyNumberFormat="1" applyFont="1" applyFill="1" applyBorder="1" applyAlignment="1">
      <alignment horizontal="right"/>
    </xf>
    <xf numFmtId="0" fontId="15" fillId="10" borderId="4" xfId="0" applyFont="1" applyFill="1" applyBorder="1" applyAlignment="1">
      <alignment horizontal="center" vertical="center"/>
    </xf>
    <xf numFmtId="164" fontId="8" fillId="6" borderId="5" xfId="0" applyNumberFormat="1" applyFont="1" applyFill="1" applyBorder="1" applyAlignment="1">
      <alignment horizontal="right" vertical="center"/>
    </xf>
    <xf numFmtId="164" fontId="16" fillId="7" borderId="5" xfId="0" applyNumberFormat="1" applyFont="1" applyFill="1" applyBorder="1" applyAlignment="1">
      <alignment horizontal="right"/>
    </xf>
    <xf numFmtId="164" fontId="0" fillId="8" borderId="5" xfId="0" applyNumberFormat="1" applyFill="1" applyBorder="1" applyAlignment="1">
      <alignment horizontal="right"/>
    </xf>
    <xf numFmtId="0" fontId="14" fillId="2" borderId="4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164" fontId="14" fillId="2" borderId="4" xfId="0" applyNumberFormat="1" applyFont="1" applyFill="1" applyBorder="1" applyAlignment="1">
      <alignment horizontal="right" vertical="center"/>
    </xf>
    <xf numFmtId="0" fontId="5" fillId="9" borderId="5" xfId="0" applyFont="1" applyFill="1" applyBorder="1" applyAlignment="1">
      <alignment horizontal="center" vertical="center"/>
    </xf>
    <xf numFmtId="164" fontId="0" fillId="6" borderId="5" xfId="0" applyNumberFormat="1" applyFill="1" applyBorder="1" applyAlignment="1">
      <alignment horizontal="right"/>
    </xf>
    <xf numFmtId="164" fontId="8" fillId="6" borderId="5" xfId="0" applyNumberFormat="1" applyFont="1" applyFill="1" applyBorder="1" applyAlignment="1">
      <alignment horizontal="right"/>
    </xf>
    <xf numFmtId="164" fontId="8" fillId="8" borderId="5" xfId="0" applyNumberFormat="1" applyFont="1" applyFill="1" applyBorder="1" applyAlignment="1">
      <alignment horizontal="right"/>
    </xf>
    <xf numFmtId="164" fontId="12" fillId="11" borderId="4" xfId="0" applyNumberFormat="1" applyFont="1" applyFill="1" applyBorder="1" applyAlignment="1">
      <alignment horizontal="right"/>
    </xf>
    <xf numFmtId="0" fontId="17" fillId="8" borderId="4" xfId="0" applyFont="1" applyFill="1" applyBorder="1" applyAlignment="1">
      <alignment horizontal="left" vertical="center"/>
    </xf>
    <xf numFmtId="0" fontId="8" fillId="8" borderId="5" xfId="0" applyFont="1" applyFill="1" applyBorder="1" applyAlignment="1">
      <alignment horizontal="left" vertical="center"/>
    </xf>
    <xf numFmtId="164" fontId="18" fillId="8" borderId="4" xfId="0" applyNumberFormat="1" applyFont="1" applyFill="1" applyBorder="1" applyAlignment="1">
      <alignment horizontal="right"/>
    </xf>
    <xf numFmtId="0" fontId="8" fillId="11" borderId="5" xfId="0" applyFont="1" applyFill="1" applyBorder="1" applyAlignment="1">
      <alignment horizontal="left" vertical="center"/>
    </xf>
    <xf numFmtId="164" fontId="14" fillId="2" borderId="4" xfId="0" applyNumberFormat="1" applyFont="1" applyFill="1" applyBorder="1" applyAlignment="1">
      <alignment horizontal="right"/>
    </xf>
    <xf numFmtId="0" fontId="14" fillId="3" borderId="4" xfId="0" applyFont="1" applyFill="1" applyBorder="1" applyAlignment="1">
      <alignment horizontal="left" vertical="center"/>
    </xf>
    <xf numFmtId="0" fontId="19" fillId="7" borderId="5" xfId="0" applyFont="1" applyFill="1" applyBorder="1" applyAlignment="1">
      <alignment horizontal="left" vertical="center"/>
    </xf>
    <xf numFmtId="0" fontId="19" fillId="11" borderId="5" xfId="0" applyFont="1" applyFill="1" applyBorder="1" applyAlignment="1">
      <alignment horizontal="left" vertical="center"/>
    </xf>
    <xf numFmtId="0" fontId="14" fillId="11" borderId="5" xfId="0" applyFont="1" applyFill="1" applyBorder="1" applyAlignment="1">
      <alignment horizontal="left" vertical="center"/>
    </xf>
    <xf numFmtId="164" fontId="14" fillId="11" borderId="5" xfId="0" applyNumberFormat="1" applyFont="1" applyFill="1" applyBorder="1" applyAlignment="1">
      <alignment horizontal="right"/>
    </xf>
    <xf numFmtId="164" fontId="13" fillId="6" borderId="5" xfId="0" applyNumberFormat="1" applyFont="1" applyFill="1" applyBorder="1" applyAlignment="1">
      <alignment horizontal="right"/>
    </xf>
    <xf numFmtId="0" fontId="3" fillId="4" borderId="5" xfId="0" applyFont="1" applyFill="1" applyBorder="1" applyAlignment="1">
      <alignment horizontal="left" vertical="center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3" fillId="0" borderId="0" xfId="0" applyFont="1" applyAlignment="1">
      <alignment horizontal="justify" vertical="center"/>
    </xf>
    <xf numFmtId="0" fontId="26" fillId="0" borderId="0" xfId="0" applyFont="1" applyAlignment="1">
      <alignment horizontal="justify" vertical="center"/>
    </xf>
    <xf numFmtId="0" fontId="25" fillId="0" borderId="0" xfId="0" applyFont="1" applyAlignment="1">
      <alignment horizontal="justify" vertical="center"/>
    </xf>
    <xf numFmtId="0" fontId="27" fillId="0" borderId="0" xfId="0" applyFont="1" applyAlignment="1">
      <alignment horizontal="justify"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E1F2"/>
      <rgbColor rgb="FF777777"/>
      <rgbColor rgb="FF9999FF"/>
      <rgbColor rgb="FF993366"/>
      <rgbColor rgb="FFF2F2F2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FFF99"/>
      <rgbColor rgb="FFD6E4F0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366092"/>
      <rgbColor rgb="FFAAAAAA"/>
      <rgbColor rgb="FF1F3864"/>
      <rgbColor rgb="FF339966"/>
      <rgbColor rgb="FF375623"/>
      <rgbColor rgb="FF444444"/>
      <rgbColor rgb="FF7B2C2C"/>
      <rgbColor rgb="FF993366"/>
      <rgbColor rgb="FF5C3A6B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37AA9-4E12-4E7B-98CD-2F9030134A66}">
  <dimension ref="B1:T37"/>
  <sheetViews>
    <sheetView tabSelected="1" workbookViewId="0">
      <selection activeCell="B1" sqref="B1:D1"/>
    </sheetView>
  </sheetViews>
  <sheetFormatPr defaultRowHeight="15" x14ac:dyDescent="0.25"/>
  <cols>
    <col min="2" max="2" width="160.42578125" bestFit="1" customWidth="1"/>
  </cols>
  <sheetData>
    <row r="1" spans="2:20" x14ac:dyDescent="0.25">
      <c r="B1" s="59"/>
      <c r="C1" s="59"/>
      <c r="D1" s="59"/>
    </row>
    <row r="2" spans="2:20" ht="24" x14ac:dyDescent="0.25">
      <c r="B2" s="65" t="s">
        <v>168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</row>
    <row r="3" spans="2:20" ht="18.75" customHeight="1" x14ac:dyDescent="0.25">
      <c r="B3" s="66" t="s">
        <v>169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</row>
    <row r="4" spans="2:20" ht="17.25" x14ac:dyDescent="0.25">
      <c r="B4" s="61" t="s">
        <v>170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</row>
    <row r="5" spans="2:20" ht="17.25" customHeight="1" x14ac:dyDescent="0.25">
      <c r="B5" s="61" t="s">
        <v>171</v>
      </c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</row>
    <row r="6" spans="2:20" ht="17.25" customHeight="1" x14ac:dyDescent="0.25">
      <c r="B6" s="61" t="s">
        <v>172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</row>
    <row r="7" spans="2:20" ht="17.25" customHeight="1" x14ac:dyDescent="0.25">
      <c r="B7" s="61" t="s">
        <v>173</v>
      </c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</row>
    <row r="8" spans="2:20" ht="17.25" customHeight="1" x14ac:dyDescent="0.25">
      <c r="B8" s="61" t="s">
        <v>174</v>
      </c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</row>
    <row r="9" spans="2:20" ht="17.25" customHeight="1" x14ac:dyDescent="0.25">
      <c r="B9" s="61" t="s">
        <v>175</v>
      </c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</row>
    <row r="10" spans="2:20" ht="17.25" customHeight="1" x14ac:dyDescent="0.25">
      <c r="B10" s="61" t="s">
        <v>176</v>
      </c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</row>
    <row r="11" spans="2:20" ht="17.25" customHeight="1" x14ac:dyDescent="0.25">
      <c r="B11" s="61" t="s">
        <v>177</v>
      </c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</row>
    <row r="12" spans="2:20" ht="17.25" customHeight="1" x14ac:dyDescent="0.25">
      <c r="B12" s="61" t="s">
        <v>178</v>
      </c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</row>
    <row r="13" spans="2:20" ht="17.25" customHeight="1" x14ac:dyDescent="0.25">
      <c r="B13" s="61" t="s">
        <v>179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</row>
    <row r="14" spans="2:20" ht="17.25" customHeight="1" x14ac:dyDescent="0.25">
      <c r="B14" s="61" t="s">
        <v>180</v>
      </c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</row>
    <row r="15" spans="2:20" ht="17.25" customHeight="1" x14ac:dyDescent="0.25">
      <c r="B15" s="62" t="s">
        <v>181</v>
      </c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</row>
    <row r="16" spans="2:20" ht="17.25" customHeight="1" x14ac:dyDescent="0.25">
      <c r="B16" s="63" t="s">
        <v>182</v>
      </c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</row>
    <row r="17" spans="2:15" ht="17.25" customHeight="1" x14ac:dyDescent="0.25">
      <c r="B17" s="63" t="s">
        <v>183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</row>
    <row r="18" spans="2:15" ht="17.25" customHeight="1" x14ac:dyDescent="0.25">
      <c r="B18" s="63" t="s">
        <v>184</v>
      </c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</row>
    <row r="19" spans="2:15" ht="17.25" customHeight="1" x14ac:dyDescent="0.25">
      <c r="B19" s="64" t="s">
        <v>185</v>
      </c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</row>
    <row r="20" spans="2:15" ht="17.25" customHeight="1" x14ac:dyDescent="0.25">
      <c r="B20" s="64" t="s">
        <v>186</v>
      </c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</row>
    <row r="21" spans="2:15" ht="17.25" customHeight="1" x14ac:dyDescent="0.25">
      <c r="B21" s="64" t="s">
        <v>187</v>
      </c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</row>
    <row r="22" spans="2:15" ht="17.25" customHeight="1" x14ac:dyDescent="0.25">
      <c r="B22" s="64" t="s">
        <v>188</v>
      </c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</row>
    <row r="23" spans="2:15" ht="17.25" customHeight="1" x14ac:dyDescent="0.25">
      <c r="B23" s="64" t="s">
        <v>189</v>
      </c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</row>
    <row r="24" spans="2:15" ht="17.25" customHeight="1" x14ac:dyDescent="0.25">
      <c r="B24" s="63" t="s">
        <v>190</v>
      </c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</row>
    <row r="25" spans="2:15" ht="17.25" customHeight="1" x14ac:dyDescent="0.25">
      <c r="B25" s="63" t="s">
        <v>191</v>
      </c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</row>
    <row r="26" spans="2:15" ht="17.25" customHeight="1" x14ac:dyDescent="0.25">
      <c r="B26" s="63" t="s">
        <v>192</v>
      </c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</row>
    <row r="27" spans="2:15" ht="17.25" customHeight="1" x14ac:dyDescent="0.25">
      <c r="B27" s="63" t="s">
        <v>193</v>
      </c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</row>
    <row r="28" spans="2:15" x14ac:dyDescent="0.25"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</row>
    <row r="29" spans="2:15" x14ac:dyDescent="0.25"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</row>
    <row r="30" spans="2:15" x14ac:dyDescent="0.25"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</row>
    <row r="31" spans="2:15" x14ac:dyDescent="0.25"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</row>
    <row r="32" spans="2:15" x14ac:dyDescent="0.25"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</row>
    <row r="33" spans="2:15" x14ac:dyDescent="0.25"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</row>
    <row r="34" spans="2:15" x14ac:dyDescent="0.25"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</row>
    <row r="35" spans="2:15" x14ac:dyDescent="0.25"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</row>
    <row r="36" spans="2:15" x14ac:dyDescent="0.25"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</row>
    <row r="37" spans="2:15" x14ac:dyDescent="0.25"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</row>
  </sheetData>
  <mergeCells count="3">
    <mergeCell ref="B1:D1"/>
    <mergeCell ref="B2:T2"/>
    <mergeCell ref="B3:T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E38"/>
  <sheetViews>
    <sheetView showGridLines="0" zoomScale="93" zoomScaleNormal="100" workbookViewId="0">
      <pane ySplit="4" topLeftCell="A5" activePane="bottomLeft" state="frozen"/>
      <selection pane="bottomLeft" activeCell="E10" sqref="E10"/>
    </sheetView>
  </sheetViews>
  <sheetFormatPr defaultColWidth="8.7109375" defaultRowHeight="15" x14ac:dyDescent="0.25"/>
  <cols>
    <col min="1" max="1" width="10" customWidth="1"/>
    <col min="2" max="2" width="42" customWidth="1"/>
    <col min="3" max="3" width="8" customWidth="1"/>
    <col min="4" max="5" width="14" customWidth="1"/>
  </cols>
  <sheetData>
    <row r="1" spans="1:5" ht="17.25" customHeight="1" x14ac:dyDescent="0.25">
      <c r="A1" s="50" t="s">
        <v>0</v>
      </c>
      <c r="B1" s="50"/>
      <c r="C1" s="50"/>
      <c r="D1" s="50"/>
      <c r="E1" s="50"/>
    </row>
    <row r="2" spans="1:5" ht="15" customHeight="1" x14ac:dyDescent="0.25">
      <c r="A2" s="51" t="s">
        <v>1</v>
      </c>
      <c r="B2" s="51"/>
      <c r="C2" s="51"/>
      <c r="D2" s="51"/>
      <c r="E2" s="51"/>
    </row>
    <row r="3" spans="1:5" ht="15" customHeight="1" x14ac:dyDescent="0.25">
      <c r="A3" s="52" t="s">
        <v>2</v>
      </c>
      <c r="B3" s="52"/>
      <c r="C3" s="52"/>
      <c r="D3" s="52"/>
      <c r="E3" s="52"/>
    </row>
    <row r="4" spans="1:5" ht="1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</row>
    <row r="5" spans="1:5" ht="15" customHeight="1" x14ac:dyDescent="0.25">
      <c r="A5" s="2" t="s">
        <v>8</v>
      </c>
      <c r="B5" s="3" t="s">
        <v>9</v>
      </c>
      <c r="C5" s="4" t="s">
        <v>10</v>
      </c>
      <c r="D5" s="5">
        <v>15000</v>
      </c>
      <c r="E5" s="6"/>
    </row>
    <row r="6" spans="1:5" ht="15" customHeight="1" x14ac:dyDescent="0.25">
      <c r="A6" s="7"/>
      <c r="B6" s="8" t="s">
        <v>11</v>
      </c>
      <c r="C6" s="9" t="s">
        <v>12</v>
      </c>
      <c r="D6" s="10"/>
      <c r="E6" s="11">
        <v>15000</v>
      </c>
    </row>
    <row r="7" spans="1:5" ht="15" customHeight="1" x14ac:dyDescent="0.25">
      <c r="A7" s="12"/>
      <c r="B7" s="13" t="s">
        <v>13</v>
      </c>
      <c r="C7" s="14"/>
      <c r="D7" s="15"/>
      <c r="E7" s="15"/>
    </row>
    <row r="8" spans="1:5" ht="15" customHeight="1" x14ac:dyDescent="0.25">
      <c r="A8" s="7" t="s">
        <v>8</v>
      </c>
      <c r="B8" s="16" t="s">
        <v>14</v>
      </c>
      <c r="C8" s="9" t="s">
        <v>15</v>
      </c>
      <c r="D8" s="5">
        <v>10000</v>
      </c>
      <c r="E8" s="10"/>
    </row>
    <row r="9" spans="1:5" ht="15" customHeight="1" x14ac:dyDescent="0.25">
      <c r="A9" s="2"/>
      <c r="B9" s="17" t="s">
        <v>16</v>
      </c>
      <c r="C9" s="4" t="s">
        <v>10</v>
      </c>
      <c r="D9" s="6"/>
      <c r="E9" s="11">
        <v>3000</v>
      </c>
    </row>
    <row r="10" spans="1:5" ht="15" customHeight="1" x14ac:dyDescent="0.25">
      <c r="A10" s="7"/>
      <c r="B10" s="8" t="s">
        <v>17</v>
      </c>
      <c r="C10" s="9" t="s">
        <v>18</v>
      </c>
      <c r="D10" s="10"/>
      <c r="E10" s="11">
        <v>7000</v>
      </c>
    </row>
    <row r="11" spans="1:5" ht="15" customHeight="1" x14ac:dyDescent="0.25">
      <c r="A11" s="12"/>
      <c r="B11" s="13" t="s">
        <v>19</v>
      </c>
      <c r="C11" s="14"/>
      <c r="D11" s="15"/>
      <c r="E11" s="15"/>
    </row>
    <row r="12" spans="1:5" ht="15" customHeight="1" x14ac:dyDescent="0.25">
      <c r="A12" s="7" t="s">
        <v>20</v>
      </c>
      <c r="B12" s="16" t="s">
        <v>21</v>
      </c>
      <c r="C12" s="9" t="s">
        <v>22</v>
      </c>
      <c r="D12" s="5">
        <v>1700</v>
      </c>
      <c r="E12" s="10"/>
    </row>
    <row r="13" spans="1:5" ht="15" customHeight="1" x14ac:dyDescent="0.25">
      <c r="A13" s="2"/>
      <c r="B13" s="17" t="s">
        <v>17</v>
      </c>
      <c r="C13" s="4" t="s">
        <v>18</v>
      </c>
      <c r="D13" s="6"/>
      <c r="E13" s="11">
        <v>1700</v>
      </c>
    </row>
    <row r="14" spans="1:5" ht="15" customHeight="1" x14ac:dyDescent="0.25">
      <c r="A14" s="12"/>
      <c r="B14" s="13" t="s">
        <v>23</v>
      </c>
      <c r="C14" s="14"/>
      <c r="D14" s="15"/>
      <c r="E14" s="15"/>
    </row>
    <row r="15" spans="1:5" ht="15" customHeight="1" x14ac:dyDescent="0.25">
      <c r="A15" s="2" t="s">
        <v>24</v>
      </c>
      <c r="B15" s="3" t="s">
        <v>25</v>
      </c>
      <c r="C15" s="4" t="s">
        <v>26</v>
      </c>
      <c r="D15" s="5">
        <v>1800</v>
      </c>
      <c r="E15" s="6"/>
    </row>
    <row r="16" spans="1:5" ht="15" customHeight="1" x14ac:dyDescent="0.25">
      <c r="A16" s="7"/>
      <c r="B16" s="8" t="s">
        <v>16</v>
      </c>
      <c r="C16" s="9" t="s">
        <v>10</v>
      </c>
      <c r="D16" s="10"/>
      <c r="E16" s="11">
        <v>1800</v>
      </c>
    </row>
    <row r="17" spans="1:5" ht="15" customHeight="1" x14ac:dyDescent="0.25">
      <c r="A17" s="12"/>
      <c r="B17" s="13" t="s">
        <v>27</v>
      </c>
      <c r="C17" s="14"/>
      <c r="D17" s="15"/>
      <c r="E17" s="15"/>
    </row>
    <row r="18" spans="1:5" ht="15" customHeight="1" x14ac:dyDescent="0.25">
      <c r="A18" s="7" t="s">
        <v>28</v>
      </c>
      <c r="B18" s="16" t="s">
        <v>29</v>
      </c>
      <c r="C18" s="9" t="s">
        <v>30</v>
      </c>
      <c r="D18" s="5">
        <v>4200</v>
      </c>
      <c r="E18" s="10"/>
    </row>
    <row r="19" spans="1:5" ht="15" customHeight="1" x14ac:dyDescent="0.25">
      <c r="A19" s="2"/>
      <c r="B19" s="17" t="s">
        <v>31</v>
      </c>
      <c r="C19" s="4" t="s">
        <v>32</v>
      </c>
      <c r="D19" s="6"/>
      <c r="E19" s="11">
        <v>4200</v>
      </c>
    </row>
    <row r="20" spans="1:5" ht="15" customHeight="1" x14ac:dyDescent="0.25">
      <c r="A20" s="12"/>
      <c r="B20" s="13" t="s">
        <v>33</v>
      </c>
      <c r="C20" s="14"/>
      <c r="D20" s="15"/>
      <c r="E20" s="15"/>
    </row>
    <row r="21" spans="1:5" ht="15" customHeight="1" x14ac:dyDescent="0.25">
      <c r="A21" s="2" t="s">
        <v>34</v>
      </c>
      <c r="B21" s="3" t="s">
        <v>35</v>
      </c>
      <c r="C21" s="4" t="s">
        <v>18</v>
      </c>
      <c r="D21" s="5">
        <v>1400</v>
      </c>
      <c r="E21" s="6"/>
    </row>
    <row r="22" spans="1:5" ht="15" customHeight="1" x14ac:dyDescent="0.25">
      <c r="A22" s="7"/>
      <c r="B22" s="8" t="s">
        <v>16</v>
      </c>
      <c r="C22" s="9" t="s">
        <v>10</v>
      </c>
      <c r="D22" s="10"/>
      <c r="E22" s="11">
        <v>1400</v>
      </c>
    </row>
    <row r="23" spans="1:5" ht="15" customHeight="1" x14ac:dyDescent="0.25">
      <c r="A23" s="12"/>
      <c r="B23" s="13" t="s">
        <v>36</v>
      </c>
      <c r="C23" s="14"/>
      <c r="D23" s="15"/>
      <c r="E23" s="15"/>
    </row>
    <row r="24" spans="1:5" ht="15" customHeight="1" x14ac:dyDescent="0.25">
      <c r="A24" s="7" t="s">
        <v>37</v>
      </c>
      <c r="B24" s="16" t="s">
        <v>38</v>
      </c>
      <c r="C24" s="9" t="s">
        <v>39</v>
      </c>
      <c r="D24" s="5">
        <v>1900</v>
      </c>
      <c r="E24" s="10"/>
    </row>
    <row r="25" spans="1:5" ht="15" customHeight="1" x14ac:dyDescent="0.25">
      <c r="A25" s="2"/>
      <c r="B25" s="17" t="s">
        <v>16</v>
      </c>
      <c r="C25" s="4" t="s">
        <v>10</v>
      </c>
      <c r="D25" s="6"/>
      <c r="E25" s="11">
        <v>1900</v>
      </c>
    </row>
    <row r="26" spans="1:5" ht="15" customHeight="1" x14ac:dyDescent="0.25">
      <c r="A26" s="12"/>
      <c r="B26" s="13" t="s">
        <v>40</v>
      </c>
      <c r="C26" s="14"/>
      <c r="D26" s="15"/>
      <c r="E26" s="15"/>
    </row>
    <row r="27" spans="1:5" ht="15" customHeight="1" x14ac:dyDescent="0.25">
      <c r="A27" s="2" t="s">
        <v>41</v>
      </c>
      <c r="B27" s="3" t="s">
        <v>9</v>
      </c>
      <c r="C27" s="4" t="s">
        <v>10</v>
      </c>
      <c r="D27" s="5">
        <v>2400</v>
      </c>
      <c r="E27" s="6"/>
    </row>
    <row r="28" spans="1:5" ht="15" customHeight="1" x14ac:dyDescent="0.25">
      <c r="A28" s="7"/>
      <c r="B28" s="8" t="s">
        <v>42</v>
      </c>
      <c r="C28" s="9" t="s">
        <v>30</v>
      </c>
      <c r="D28" s="10"/>
      <c r="E28" s="11">
        <v>2400</v>
      </c>
    </row>
    <row r="29" spans="1:5" ht="15" customHeight="1" x14ac:dyDescent="0.25">
      <c r="A29" s="12"/>
      <c r="B29" s="13" t="s">
        <v>43</v>
      </c>
      <c r="C29" s="14"/>
      <c r="D29" s="15"/>
      <c r="E29" s="15"/>
    </row>
    <row r="30" spans="1:5" ht="15" customHeight="1" x14ac:dyDescent="0.25">
      <c r="A30" s="7" t="s">
        <v>44</v>
      </c>
      <c r="B30" s="16" t="s">
        <v>29</v>
      </c>
      <c r="C30" s="9" t="s">
        <v>30</v>
      </c>
      <c r="D30" s="5">
        <v>2100</v>
      </c>
      <c r="E30" s="10"/>
    </row>
    <row r="31" spans="1:5" ht="15" customHeight="1" x14ac:dyDescent="0.25">
      <c r="A31" s="2"/>
      <c r="B31" s="17" t="s">
        <v>31</v>
      </c>
      <c r="C31" s="4" t="s">
        <v>32</v>
      </c>
      <c r="D31" s="6"/>
      <c r="E31" s="11">
        <v>2100</v>
      </c>
    </row>
    <row r="32" spans="1:5" ht="15" customHeight="1" x14ac:dyDescent="0.25">
      <c r="A32" s="12"/>
      <c r="B32" s="13" t="s">
        <v>33</v>
      </c>
      <c r="C32" s="14"/>
      <c r="D32" s="15"/>
      <c r="E32" s="15"/>
    </row>
    <row r="33" spans="1:5" ht="15" customHeight="1" x14ac:dyDescent="0.25">
      <c r="A33" s="2" t="s">
        <v>45</v>
      </c>
      <c r="B33" s="3" t="s">
        <v>46</v>
      </c>
      <c r="C33" s="4" t="s">
        <v>47</v>
      </c>
      <c r="D33" s="5">
        <v>400</v>
      </c>
      <c r="E33" s="6"/>
    </row>
    <row r="34" spans="1:5" ht="15" customHeight="1" x14ac:dyDescent="0.25">
      <c r="A34" s="7"/>
      <c r="B34" s="8" t="s">
        <v>16</v>
      </c>
      <c r="C34" s="9" t="s">
        <v>10</v>
      </c>
      <c r="D34" s="10"/>
      <c r="E34" s="11">
        <v>400</v>
      </c>
    </row>
    <row r="35" spans="1:5" ht="15" customHeight="1" x14ac:dyDescent="0.25">
      <c r="A35" s="12"/>
      <c r="B35" s="13" t="s">
        <v>48</v>
      </c>
      <c r="C35" s="14"/>
      <c r="D35" s="15"/>
      <c r="E35" s="15"/>
    </row>
    <row r="36" spans="1:5" ht="15" customHeight="1" x14ac:dyDescent="0.25">
      <c r="A36" s="7" t="s">
        <v>45</v>
      </c>
      <c r="B36" s="16" t="s">
        <v>49</v>
      </c>
      <c r="C36" s="9" t="s">
        <v>50</v>
      </c>
      <c r="D36" s="5">
        <v>500</v>
      </c>
      <c r="E36" s="10"/>
    </row>
    <row r="37" spans="1:5" ht="15" customHeight="1" x14ac:dyDescent="0.25">
      <c r="A37" s="2"/>
      <c r="B37" s="17" t="s">
        <v>16</v>
      </c>
      <c r="C37" s="4" t="s">
        <v>10</v>
      </c>
      <c r="D37" s="6"/>
      <c r="E37" s="11">
        <v>500</v>
      </c>
    </row>
    <row r="38" spans="1:5" ht="15" customHeight="1" x14ac:dyDescent="0.25">
      <c r="A38" s="18"/>
      <c r="B38" s="19" t="s">
        <v>51</v>
      </c>
      <c r="C38" s="20"/>
      <c r="D38" s="21"/>
      <c r="E38" s="21"/>
    </row>
  </sheetData>
  <mergeCells count="3">
    <mergeCell ref="A1:E1"/>
    <mergeCell ref="A2:E2"/>
    <mergeCell ref="A3:E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B2C2C"/>
  </sheetPr>
  <dimension ref="A1:E19"/>
  <sheetViews>
    <sheetView showGridLines="0" zoomScaleNormal="100" workbookViewId="0">
      <pane ySplit="4" topLeftCell="A5" activePane="bottomLeft" state="frozen"/>
      <selection pane="bottomLeft" sqref="A1:E1"/>
    </sheetView>
  </sheetViews>
  <sheetFormatPr defaultColWidth="8.7109375" defaultRowHeight="15" x14ac:dyDescent="0.25"/>
  <cols>
    <col min="1" max="1" width="10" customWidth="1"/>
    <col min="2" max="2" width="42" customWidth="1"/>
    <col min="3" max="3" width="8" customWidth="1"/>
    <col min="4" max="5" width="14" customWidth="1"/>
  </cols>
  <sheetData>
    <row r="1" spans="1:5" ht="17.25" customHeight="1" x14ac:dyDescent="0.25">
      <c r="A1" s="50" t="s">
        <v>0</v>
      </c>
      <c r="B1" s="50"/>
      <c r="C1" s="50"/>
      <c r="D1" s="50"/>
      <c r="E1" s="50"/>
    </row>
    <row r="2" spans="1:5" ht="15" customHeight="1" x14ac:dyDescent="0.25">
      <c r="A2" s="51" t="s">
        <v>52</v>
      </c>
      <c r="B2" s="51"/>
      <c r="C2" s="51"/>
      <c r="D2" s="51"/>
      <c r="E2" s="51"/>
    </row>
    <row r="3" spans="1:5" ht="15" customHeight="1" x14ac:dyDescent="0.25">
      <c r="A3" s="52" t="s">
        <v>53</v>
      </c>
      <c r="B3" s="52"/>
      <c r="C3" s="52"/>
      <c r="D3" s="52"/>
      <c r="E3" s="52"/>
    </row>
    <row r="4" spans="1:5" ht="1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</row>
    <row r="5" spans="1:5" ht="15" customHeight="1" x14ac:dyDescent="0.25">
      <c r="A5" s="2" t="s">
        <v>45</v>
      </c>
      <c r="B5" s="3" t="s">
        <v>29</v>
      </c>
      <c r="C5" s="4" t="s">
        <v>30</v>
      </c>
      <c r="D5" s="5">
        <v>1300</v>
      </c>
      <c r="E5" s="6"/>
    </row>
    <row r="6" spans="1:5" ht="15" customHeight="1" x14ac:dyDescent="0.25">
      <c r="A6" s="7"/>
      <c r="B6" s="8" t="s">
        <v>31</v>
      </c>
      <c r="C6" s="9" t="s">
        <v>32</v>
      </c>
      <c r="D6" s="10"/>
      <c r="E6" s="11">
        <v>1300</v>
      </c>
    </row>
    <row r="7" spans="1:5" ht="15" customHeight="1" x14ac:dyDescent="0.25">
      <c r="A7" s="12"/>
      <c r="B7" s="13" t="s">
        <v>54</v>
      </c>
      <c r="C7" s="14"/>
      <c r="D7" s="15"/>
      <c r="E7" s="15"/>
    </row>
    <row r="8" spans="1:5" ht="15" customHeight="1" x14ac:dyDescent="0.25">
      <c r="A8" s="7" t="s">
        <v>45</v>
      </c>
      <c r="B8" s="16" t="s">
        <v>55</v>
      </c>
      <c r="C8" s="9" t="s">
        <v>56</v>
      </c>
      <c r="D8" s="5">
        <v>200</v>
      </c>
      <c r="E8" s="10"/>
    </row>
    <row r="9" spans="1:5" ht="15" customHeight="1" x14ac:dyDescent="0.25">
      <c r="A9" s="2"/>
      <c r="B9" s="17" t="s">
        <v>57</v>
      </c>
      <c r="C9" s="4" t="s">
        <v>58</v>
      </c>
      <c r="D9" s="6"/>
      <c r="E9" s="11">
        <v>200</v>
      </c>
    </row>
    <row r="10" spans="1:5" ht="15" customHeight="1" x14ac:dyDescent="0.25">
      <c r="A10" s="12"/>
      <c r="B10" s="13" t="s">
        <v>59</v>
      </c>
      <c r="C10" s="14"/>
      <c r="D10" s="15"/>
      <c r="E10" s="15"/>
    </row>
    <row r="11" spans="1:5" ht="15" customHeight="1" x14ac:dyDescent="0.25">
      <c r="A11" s="2" t="s">
        <v>45</v>
      </c>
      <c r="B11" s="3" t="s">
        <v>60</v>
      </c>
      <c r="C11" s="4" t="s">
        <v>61</v>
      </c>
      <c r="D11" s="5">
        <v>150</v>
      </c>
      <c r="E11" s="6"/>
    </row>
    <row r="12" spans="1:5" ht="15" customHeight="1" x14ac:dyDescent="0.25">
      <c r="A12" s="7"/>
      <c r="B12" s="8" t="s">
        <v>62</v>
      </c>
      <c r="C12" s="9" t="s">
        <v>26</v>
      </c>
      <c r="D12" s="10"/>
      <c r="E12" s="11">
        <v>150</v>
      </c>
    </row>
    <row r="13" spans="1:5" ht="15" customHeight="1" x14ac:dyDescent="0.25">
      <c r="A13" s="12"/>
      <c r="B13" s="13" t="s">
        <v>63</v>
      </c>
      <c r="C13" s="14"/>
      <c r="D13" s="15"/>
      <c r="E13" s="15"/>
    </row>
    <row r="14" spans="1:5" ht="15" customHeight="1" x14ac:dyDescent="0.25">
      <c r="A14" s="7" t="s">
        <v>45</v>
      </c>
      <c r="B14" s="16" t="s">
        <v>64</v>
      </c>
      <c r="C14" s="9" t="s">
        <v>65</v>
      </c>
      <c r="D14" s="5">
        <v>1420</v>
      </c>
      <c r="E14" s="10"/>
    </row>
    <row r="15" spans="1:5" ht="15" customHeight="1" x14ac:dyDescent="0.25">
      <c r="A15" s="2"/>
      <c r="B15" s="17" t="s">
        <v>66</v>
      </c>
      <c r="C15" s="4" t="s">
        <v>22</v>
      </c>
      <c r="D15" s="6"/>
      <c r="E15" s="11">
        <v>1420</v>
      </c>
    </row>
    <row r="16" spans="1:5" ht="15" customHeight="1" x14ac:dyDescent="0.25">
      <c r="A16" s="12"/>
      <c r="B16" s="13" t="s">
        <v>67</v>
      </c>
      <c r="C16" s="14"/>
      <c r="D16" s="15"/>
      <c r="E16" s="15"/>
    </row>
    <row r="17" spans="1:5" ht="15" customHeight="1" x14ac:dyDescent="0.25">
      <c r="A17" s="2" t="s">
        <v>45</v>
      </c>
      <c r="B17" s="3" t="s">
        <v>38</v>
      </c>
      <c r="C17" s="4" t="s">
        <v>39</v>
      </c>
      <c r="D17" s="5">
        <v>630</v>
      </c>
      <c r="E17" s="6"/>
    </row>
    <row r="18" spans="1:5" ht="15" customHeight="1" x14ac:dyDescent="0.25">
      <c r="A18" s="7"/>
      <c r="B18" s="8" t="s">
        <v>68</v>
      </c>
      <c r="C18" s="9" t="s">
        <v>69</v>
      </c>
      <c r="D18" s="10"/>
      <c r="E18" s="11">
        <v>630</v>
      </c>
    </row>
    <row r="19" spans="1:5" ht="15" customHeight="1" x14ac:dyDescent="0.25">
      <c r="A19" s="18"/>
      <c r="B19" s="19" t="s">
        <v>70</v>
      </c>
      <c r="C19" s="20"/>
      <c r="D19" s="21"/>
      <c r="E19" s="21"/>
    </row>
  </sheetData>
  <mergeCells count="3">
    <mergeCell ref="A1:E1"/>
    <mergeCell ref="A2:E2"/>
    <mergeCell ref="A3:E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C3A6B"/>
  </sheetPr>
  <dimension ref="A1:E20"/>
  <sheetViews>
    <sheetView showGridLines="0" zoomScaleNormal="100" workbookViewId="0">
      <pane ySplit="4" topLeftCell="A12" activePane="bottomLeft" state="frozen"/>
      <selection pane="bottomLeft" activeCell="E10" sqref="E10"/>
    </sheetView>
  </sheetViews>
  <sheetFormatPr defaultColWidth="8.7109375" defaultRowHeight="15" x14ac:dyDescent="0.25"/>
  <cols>
    <col min="1" max="1" width="10" customWidth="1"/>
    <col min="2" max="2" width="42" customWidth="1"/>
    <col min="3" max="3" width="8" customWidth="1"/>
    <col min="4" max="5" width="14" customWidth="1"/>
  </cols>
  <sheetData>
    <row r="1" spans="1:5" ht="17.25" customHeight="1" x14ac:dyDescent="0.25">
      <c r="A1" s="50" t="s">
        <v>0</v>
      </c>
      <c r="B1" s="50"/>
      <c r="C1" s="50"/>
      <c r="D1" s="50"/>
      <c r="E1" s="50"/>
    </row>
    <row r="2" spans="1:5" ht="15" customHeight="1" x14ac:dyDescent="0.25">
      <c r="A2" s="51" t="s">
        <v>71</v>
      </c>
      <c r="B2" s="51"/>
      <c r="C2" s="51"/>
      <c r="D2" s="51"/>
      <c r="E2" s="51"/>
    </row>
    <row r="3" spans="1:5" ht="15" customHeight="1" x14ac:dyDescent="0.25">
      <c r="A3" s="52" t="s">
        <v>53</v>
      </c>
      <c r="B3" s="52"/>
      <c r="C3" s="52"/>
      <c r="D3" s="52"/>
      <c r="E3" s="52"/>
    </row>
    <row r="4" spans="1:5" ht="1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</row>
    <row r="5" spans="1:5" ht="15" customHeight="1" x14ac:dyDescent="0.25">
      <c r="A5" s="2" t="s">
        <v>45</v>
      </c>
      <c r="B5" s="3" t="s">
        <v>72</v>
      </c>
      <c r="C5" s="4" t="s">
        <v>32</v>
      </c>
      <c r="D5" s="5">
        <f>'J1'!E19+'J1'!E31+'J2'!E6</f>
        <v>7600</v>
      </c>
      <c r="E5" s="6"/>
    </row>
    <row r="6" spans="1:5" ht="15" customHeight="1" x14ac:dyDescent="0.25">
      <c r="A6" s="7"/>
      <c r="B6" s="8" t="s">
        <v>73</v>
      </c>
      <c r="C6" s="9" t="s">
        <v>74</v>
      </c>
      <c r="D6" s="10"/>
      <c r="E6" s="11">
        <f>D5</f>
        <v>7600</v>
      </c>
    </row>
    <row r="7" spans="1:5" ht="15" customHeight="1" x14ac:dyDescent="0.25">
      <c r="A7" s="12"/>
      <c r="B7" s="13" t="s">
        <v>75</v>
      </c>
      <c r="C7" s="14"/>
      <c r="D7" s="15"/>
      <c r="E7" s="15"/>
    </row>
    <row r="8" spans="1:5" ht="15" customHeight="1" x14ac:dyDescent="0.25">
      <c r="A8" s="7" t="s">
        <v>45</v>
      </c>
      <c r="B8" s="16" t="s">
        <v>76</v>
      </c>
      <c r="C8" s="9" t="s">
        <v>74</v>
      </c>
      <c r="D8" s="5">
        <f>'J1'!D24+'J2'!D17+'J2'!D14+'J1'!D33+'J2'!D8+'J2'!D11</f>
        <v>4700</v>
      </c>
      <c r="E8" s="10"/>
    </row>
    <row r="9" spans="1:5" ht="15" customHeight="1" x14ac:dyDescent="0.25">
      <c r="A9" s="2"/>
      <c r="B9" s="17" t="s">
        <v>77</v>
      </c>
      <c r="C9" s="4" t="s">
        <v>39</v>
      </c>
      <c r="D9" s="6"/>
      <c r="E9" s="11">
        <f>'J1'!D24+'J2'!D17</f>
        <v>2530</v>
      </c>
    </row>
    <row r="10" spans="1:5" ht="15" customHeight="1" x14ac:dyDescent="0.25">
      <c r="A10" s="7"/>
      <c r="B10" s="8" t="s">
        <v>78</v>
      </c>
      <c r="C10" s="9" t="s">
        <v>65</v>
      </c>
      <c r="D10" s="10"/>
      <c r="E10" s="11">
        <f>'J2'!D14</f>
        <v>1420</v>
      </c>
    </row>
    <row r="11" spans="1:5" ht="15" customHeight="1" x14ac:dyDescent="0.25">
      <c r="A11" s="2"/>
      <c r="B11" s="17" t="s">
        <v>79</v>
      </c>
      <c r="C11" s="4" t="s">
        <v>47</v>
      </c>
      <c r="D11" s="6"/>
      <c r="E11" s="11">
        <f>'J1'!D33</f>
        <v>400</v>
      </c>
    </row>
    <row r="12" spans="1:5" ht="15" customHeight="1" x14ac:dyDescent="0.25">
      <c r="A12" s="7"/>
      <c r="B12" s="8" t="s">
        <v>80</v>
      </c>
      <c r="C12" s="9" t="s">
        <v>56</v>
      </c>
      <c r="D12" s="10"/>
      <c r="E12" s="11">
        <f>'J2'!D8</f>
        <v>200</v>
      </c>
    </row>
    <row r="13" spans="1:5" ht="15" customHeight="1" x14ac:dyDescent="0.25">
      <c r="A13" s="2"/>
      <c r="B13" s="17" t="s">
        <v>81</v>
      </c>
      <c r="C13" s="4" t="s">
        <v>61</v>
      </c>
      <c r="D13" s="6"/>
      <c r="E13" s="11">
        <f>'J2'!D11</f>
        <v>150</v>
      </c>
    </row>
    <row r="14" spans="1:5" ht="15" customHeight="1" x14ac:dyDescent="0.25">
      <c r="A14" s="12"/>
      <c r="B14" s="13" t="s">
        <v>82</v>
      </c>
      <c r="C14" s="14"/>
      <c r="D14" s="15"/>
      <c r="E14" s="15"/>
    </row>
    <row r="15" spans="1:5" ht="15" customHeight="1" x14ac:dyDescent="0.25">
      <c r="A15" s="2" t="s">
        <v>45</v>
      </c>
      <c r="B15" s="3" t="s">
        <v>76</v>
      </c>
      <c r="C15" s="4" t="s">
        <v>74</v>
      </c>
      <c r="D15" s="22">
        <f>D5-D8</f>
        <v>2900</v>
      </c>
      <c r="E15" s="6"/>
    </row>
    <row r="16" spans="1:5" ht="15" customHeight="1" x14ac:dyDescent="0.25">
      <c r="A16" s="7"/>
      <c r="B16" s="8" t="s">
        <v>83</v>
      </c>
      <c r="C16" s="9" t="s">
        <v>84</v>
      </c>
      <c r="D16" s="10"/>
      <c r="E16" s="23">
        <f>D15</f>
        <v>2900</v>
      </c>
    </row>
    <row r="17" spans="1:5" ht="15" customHeight="1" x14ac:dyDescent="0.25">
      <c r="A17" s="12"/>
      <c r="B17" s="13" t="s">
        <v>85</v>
      </c>
      <c r="C17" s="14"/>
      <c r="D17" s="15"/>
      <c r="E17" s="15"/>
    </row>
    <row r="18" spans="1:5" ht="15" customHeight="1" x14ac:dyDescent="0.25">
      <c r="A18" s="7" t="s">
        <v>45</v>
      </c>
      <c r="B18" s="16" t="s">
        <v>86</v>
      </c>
      <c r="C18" s="9" t="s">
        <v>84</v>
      </c>
      <c r="D18" s="5">
        <f>'J1'!D36</f>
        <v>500</v>
      </c>
      <c r="E18" s="10"/>
    </row>
    <row r="19" spans="1:5" ht="15" customHeight="1" x14ac:dyDescent="0.25">
      <c r="A19" s="2"/>
      <c r="B19" s="17" t="s">
        <v>87</v>
      </c>
      <c r="C19" s="4" t="s">
        <v>50</v>
      </c>
      <c r="D19" s="6"/>
      <c r="E19" s="11">
        <f>'J1'!D36</f>
        <v>500</v>
      </c>
    </row>
    <row r="20" spans="1:5" ht="15" customHeight="1" x14ac:dyDescent="0.25">
      <c r="A20" s="18"/>
      <c r="B20" s="19" t="s">
        <v>88</v>
      </c>
      <c r="C20" s="20"/>
      <c r="D20" s="21"/>
      <c r="E20" s="21"/>
    </row>
  </sheetData>
  <mergeCells count="3">
    <mergeCell ref="A1:E1"/>
    <mergeCell ref="A2:E2"/>
    <mergeCell ref="A3:E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66092"/>
  </sheetPr>
  <dimension ref="A1:F113"/>
  <sheetViews>
    <sheetView showGridLines="0" zoomScaleNormal="100" workbookViewId="0">
      <pane ySplit="4" topLeftCell="A41" activePane="bottomLeft" state="frozen"/>
      <selection pane="bottomLeft" activeCell="D39" sqref="D39"/>
    </sheetView>
  </sheetViews>
  <sheetFormatPr defaultColWidth="8.7109375" defaultRowHeight="15" x14ac:dyDescent="0.25"/>
  <cols>
    <col min="1" max="1" width="10" customWidth="1"/>
    <col min="2" max="2" width="30" customWidth="1"/>
    <col min="3" max="3" width="8" customWidth="1"/>
    <col min="4" max="5" width="13" customWidth="1"/>
    <col min="6" max="6" width="14" customWidth="1"/>
  </cols>
  <sheetData>
    <row r="1" spans="1:6" ht="17.25" customHeight="1" x14ac:dyDescent="0.25">
      <c r="A1" s="50" t="s">
        <v>0</v>
      </c>
      <c r="B1" s="50"/>
      <c r="C1" s="50"/>
      <c r="D1" s="50"/>
      <c r="E1" s="50"/>
      <c r="F1" s="50"/>
    </row>
    <row r="2" spans="1:6" ht="15" customHeight="1" x14ac:dyDescent="0.25">
      <c r="A2" s="51" t="s">
        <v>89</v>
      </c>
      <c r="B2" s="51"/>
      <c r="C2" s="51"/>
      <c r="D2" s="51"/>
      <c r="E2" s="51"/>
      <c r="F2" s="51"/>
    </row>
    <row r="3" spans="1:6" ht="15" customHeight="1" x14ac:dyDescent="0.25">
      <c r="A3" s="52" t="s">
        <v>2</v>
      </c>
      <c r="B3" s="52"/>
      <c r="C3" s="52"/>
      <c r="D3" s="52"/>
      <c r="E3" s="52"/>
      <c r="F3" s="52"/>
    </row>
    <row r="5" spans="1:6" ht="15" customHeight="1" x14ac:dyDescent="0.25">
      <c r="A5" s="54" t="s">
        <v>90</v>
      </c>
      <c r="B5" s="54"/>
      <c r="C5" s="54"/>
      <c r="D5" s="54"/>
      <c r="E5" s="54"/>
      <c r="F5" s="54"/>
    </row>
    <row r="6" spans="1:6" ht="15" customHeight="1" x14ac:dyDescent="0.25">
      <c r="A6" s="24" t="s">
        <v>3</v>
      </c>
      <c r="B6" s="24" t="s">
        <v>91</v>
      </c>
      <c r="C6" s="24" t="s">
        <v>5</v>
      </c>
      <c r="D6" s="24" t="s">
        <v>6</v>
      </c>
      <c r="E6" s="24" t="s">
        <v>7</v>
      </c>
      <c r="F6" s="24" t="s">
        <v>92</v>
      </c>
    </row>
    <row r="7" spans="1:6" ht="15" customHeight="1" x14ac:dyDescent="0.25">
      <c r="A7" s="7" t="s">
        <v>8</v>
      </c>
      <c r="B7" s="8" t="s">
        <v>93</v>
      </c>
      <c r="C7" s="9" t="s">
        <v>93</v>
      </c>
      <c r="D7" s="25">
        <f>'J1'!D5</f>
        <v>15000</v>
      </c>
      <c r="E7" s="10"/>
      <c r="F7" s="26">
        <f>D7-(0)</f>
        <v>15000</v>
      </c>
    </row>
    <row r="8" spans="1:6" ht="15" customHeight="1" x14ac:dyDescent="0.25">
      <c r="A8" s="2" t="s">
        <v>8</v>
      </c>
      <c r="B8" s="17" t="s">
        <v>93</v>
      </c>
      <c r="C8" s="4" t="s">
        <v>93</v>
      </c>
      <c r="D8" s="6"/>
      <c r="E8" s="27">
        <f>'J1'!E9</f>
        <v>3000</v>
      </c>
      <c r="F8" s="26">
        <f>D7-(E8)</f>
        <v>12000</v>
      </c>
    </row>
    <row r="9" spans="1:6" ht="15" customHeight="1" x14ac:dyDescent="0.25">
      <c r="A9" s="7" t="s">
        <v>24</v>
      </c>
      <c r="B9" s="8" t="s">
        <v>93</v>
      </c>
      <c r="C9" s="9" t="s">
        <v>93</v>
      </c>
      <c r="D9" s="10"/>
      <c r="E9" s="27">
        <f>'J1'!E16</f>
        <v>1800</v>
      </c>
      <c r="F9" s="26">
        <f>D7-(E8+E9)</f>
        <v>10200</v>
      </c>
    </row>
    <row r="10" spans="1:6" ht="15" customHeight="1" x14ac:dyDescent="0.25">
      <c r="A10" s="2" t="s">
        <v>34</v>
      </c>
      <c r="B10" s="17" t="s">
        <v>93</v>
      </c>
      <c r="C10" s="4" t="s">
        <v>93</v>
      </c>
      <c r="D10" s="6"/>
      <c r="E10" s="27">
        <f>'J1'!E22</f>
        <v>1400</v>
      </c>
      <c r="F10" s="26">
        <f>D7-(E8+E9+E10)</f>
        <v>8800</v>
      </c>
    </row>
    <row r="11" spans="1:6" ht="15" customHeight="1" x14ac:dyDescent="0.25">
      <c r="A11" s="7" t="s">
        <v>37</v>
      </c>
      <c r="B11" s="8" t="s">
        <v>93</v>
      </c>
      <c r="C11" s="9" t="s">
        <v>93</v>
      </c>
      <c r="D11" s="10"/>
      <c r="E11" s="27">
        <f>'J1'!E25</f>
        <v>1900</v>
      </c>
      <c r="F11" s="26">
        <f>D7-(E8+E9+E10+E11)</f>
        <v>6900</v>
      </c>
    </row>
    <row r="12" spans="1:6" ht="15" customHeight="1" x14ac:dyDescent="0.25">
      <c r="A12" s="2" t="s">
        <v>41</v>
      </c>
      <c r="B12" s="17" t="s">
        <v>93</v>
      </c>
      <c r="C12" s="4" t="s">
        <v>93</v>
      </c>
      <c r="D12" s="25">
        <f>'J1'!D27</f>
        <v>2400</v>
      </c>
      <c r="E12" s="6"/>
      <c r="F12" s="26">
        <f>D7+D12-(E8+E9+E10+E11)</f>
        <v>9300</v>
      </c>
    </row>
    <row r="13" spans="1:6" ht="15" customHeight="1" x14ac:dyDescent="0.25">
      <c r="A13" s="7" t="s">
        <v>45</v>
      </c>
      <c r="B13" s="8" t="s">
        <v>93</v>
      </c>
      <c r="C13" s="9" t="s">
        <v>93</v>
      </c>
      <c r="D13" s="10"/>
      <c r="E13" s="27">
        <f>'J1'!E34</f>
        <v>400</v>
      </c>
      <c r="F13" s="26">
        <f>D7+D12-(E8+E9+E10+E11+E13)</f>
        <v>8900</v>
      </c>
    </row>
    <row r="14" spans="1:6" ht="15" customHeight="1" x14ac:dyDescent="0.25">
      <c r="A14" s="2" t="s">
        <v>45</v>
      </c>
      <c r="B14" s="17" t="s">
        <v>93</v>
      </c>
      <c r="C14" s="4" t="s">
        <v>93</v>
      </c>
      <c r="D14" s="6"/>
      <c r="E14" s="27">
        <f>'J1'!E37</f>
        <v>500</v>
      </c>
      <c r="F14" s="26">
        <f>D7+D12-(E8+E9+E10+E11+E13+E14)</f>
        <v>8400</v>
      </c>
    </row>
    <row r="15" spans="1:6" ht="15" customHeight="1" x14ac:dyDescent="0.25">
      <c r="A15" s="28" t="s">
        <v>45</v>
      </c>
      <c r="B15" s="29" t="s">
        <v>94</v>
      </c>
      <c r="C15" s="30"/>
      <c r="D15" s="30"/>
      <c r="E15" s="30"/>
      <c r="F15" s="31">
        <f>D7+D12-(E8+E9+E10+E11+E13+E14)</f>
        <v>8400</v>
      </c>
    </row>
    <row r="17" spans="1:6" ht="15" customHeight="1" x14ac:dyDescent="0.25">
      <c r="A17" s="54" t="s">
        <v>95</v>
      </c>
      <c r="B17" s="54"/>
      <c r="C17" s="54"/>
      <c r="D17" s="54"/>
      <c r="E17" s="54"/>
      <c r="F17" s="54"/>
    </row>
    <row r="18" spans="1:6" ht="15" customHeight="1" x14ac:dyDescent="0.25">
      <c r="A18" s="24" t="s">
        <v>3</v>
      </c>
      <c r="B18" s="24" t="s">
        <v>91</v>
      </c>
      <c r="C18" s="24" t="s">
        <v>5</v>
      </c>
      <c r="D18" s="24" t="s">
        <v>6</v>
      </c>
      <c r="E18" s="24" t="s">
        <v>7</v>
      </c>
      <c r="F18" s="24" t="s">
        <v>92</v>
      </c>
    </row>
    <row r="19" spans="1:6" ht="15" customHeight="1" x14ac:dyDescent="0.25">
      <c r="A19" s="7" t="s">
        <v>28</v>
      </c>
      <c r="B19" s="8" t="s">
        <v>93</v>
      </c>
      <c r="C19" s="9" t="s">
        <v>93</v>
      </c>
      <c r="D19" s="25">
        <f>'J1'!D18</f>
        <v>4200</v>
      </c>
      <c r="E19" s="10"/>
      <c r="F19" s="26">
        <f>D19-(0)</f>
        <v>4200</v>
      </c>
    </row>
    <row r="20" spans="1:6" ht="15" customHeight="1" x14ac:dyDescent="0.25">
      <c r="A20" s="2" t="s">
        <v>41</v>
      </c>
      <c r="B20" s="17" t="s">
        <v>93</v>
      </c>
      <c r="C20" s="4" t="s">
        <v>93</v>
      </c>
      <c r="D20" s="6"/>
      <c r="E20" s="27">
        <f>'J1'!E28</f>
        <v>2400</v>
      </c>
      <c r="F20" s="26">
        <f>D19-(E20)</f>
        <v>1800</v>
      </c>
    </row>
    <row r="21" spans="1:6" ht="15" customHeight="1" x14ac:dyDescent="0.25">
      <c r="A21" s="7" t="s">
        <v>44</v>
      </c>
      <c r="B21" s="8" t="s">
        <v>93</v>
      </c>
      <c r="C21" s="9" t="s">
        <v>93</v>
      </c>
      <c r="D21" s="25">
        <f>'J1'!D30</f>
        <v>2100</v>
      </c>
      <c r="E21" s="10"/>
      <c r="F21" s="26">
        <f>D19+D21-(E20)</f>
        <v>3900</v>
      </c>
    </row>
    <row r="22" spans="1:6" ht="15" customHeight="1" x14ac:dyDescent="0.25">
      <c r="A22" s="2" t="s">
        <v>45</v>
      </c>
      <c r="B22" s="17" t="s">
        <v>96</v>
      </c>
      <c r="C22" s="4" t="s">
        <v>97</v>
      </c>
      <c r="D22" s="25">
        <f>'J2'!D5</f>
        <v>1300</v>
      </c>
      <c r="E22" s="6"/>
      <c r="F22" s="26">
        <f>D19+D21+D22-(E20)</f>
        <v>5200</v>
      </c>
    </row>
    <row r="23" spans="1:6" ht="15" customHeight="1" x14ac:dyDescent="0.25">
      <c r="A23" s="28" t="s">
        <v>45</v>
      </c>
      <c r="B23" s="29" t="s">
        <v>94</v>
      </c>
      <c r="C23" s="30"/>
      <c r="D23" s="30"/>
      <c r="E23" s="30"/>
      <c r="F23" s="31">
        <f>D19+D21+D22-(E20)</f>
        <v>5200</v>
      </c>
    </row>
    <row r="25" spans="1:6" ht="15" customHeight="1" x14ac:dyDescent="0.25">
      <c r="A25" s="54" t="s">
        <v>98</v>
      </c>
      <c r="B25" s="54"/>
      <c r="C25" s="54"/>
      <c r="D25" s="54"/>
      <c r="E25" s="54"/>
      <c r="F25" s="54"/>
    </row>
    <row r="26" spans="1:6" ht="15" customHeight="1" x14ac:dyDescent="0.25">
      <c r="A26" s="24" t="s">
        <v>3</v>
      </c>
      <c r="B26" s="24" t="s">
        <v>91</v>
      </c>
      <c r="C26" s="24" t="s">
        <v>5</v>
      </c>
      <c r="D26" s="24" t="s">
        <v>6</v>
      </c>
      <c r="E26" s="24" t="s">
        <v>7</v>
      </c>
      <c r="F26" s="24" t="s">
        <v>92</v>
      </c>
    </row>
    <row r="27" spans="1:6" ht="15" customHeight="1" x14ac:dyDescent="0.25">
      <c r="A27" s="7" t="s">
        <v>20</v>
      </c>
      <c r="B27" s="8" t="s">
        <v>93</v>
      </c>
      <c r="C27" s="9" t="s">
        <v>93</v>
      </c>
      <c r="D27" s="25">
        <f>'J1'!D12</f>
        <v>1700</v>
      </c>
      <c r="E27" s="10"/>
      <c r="F27" s="26">
        <f>D27-(0)</f>
        <v>1700</v>
      </c>
    </row>
    <row r="28" spans="1:6" ht="15" customHeight="1" x14ac:dyDescent="0.25">
      <c r="A28" s="2" t="s">
        <v>45</v>
      </c>
      <c r="B28" s="17" t="s">
        <v>96</v>
      </c>
      <c r="C28" s="4" t="s">
        <v>97</v>
      </c>
      <c r="D28" s="6"/>
      <c r="E28" s="27">
        <f>'J2'!E15</f>
        <v>1420</v>
      </c>
      <c r="F28" s="26">
        <f>D27-(E28)</f>
        <v>280</v>
      </c>
    </row>
    <row r="29" spans="1:6" ht="15" customHeight="1" x14ac:dyDescent="0.25">
      <c r="A29" s="28" t="s">
        <v>45</v>
      </c>
      <c r="B29" s="29" t="s">
        <v>94</v>
      </c>
      <c r="C29" s="30"/>
      <c r="D29" s="30"/>
      <c r="E29" s="30"/>
      <c r="F29" s="31">
        <f>D27-(E28)</f>
        <v>280</v>
      </c>
    </row>
    <row r="31" spans="1:6" ht="15" customHeight="1" x14ac:dyDescent="0.25">
      <c r="A31" s="54" t="s">
        <v>99</v>
      </c>
      <c r="B31" s="54"/>
      <c r="C31" s="54"/>
      <c r="D31" s="54"/>
      <c r="E31" s="54"/>
      <c r="F31" s="54"/>
    </row>
    <row r="32" spans="1:6" ht="15" customHeight="1" x14ac:dyDescent="0.25">
      <c r="A32" s="24" t="s">
        <v>3</v>
      </c>
      <c r="B32" s="24" t="s">
        <v>91</v>
      </c>
      <c r="C32" s="24" t="s">
        <v>5</v>
      </c>
      <c r="D32" s="24" t="s">
        <v>6</v>
      </c>
      <c r="E32" s="24" t="s">
        <v>7</v>
      </c>
      <c r="F32" s="24" t="s">
        <v>92</v>
      </c>
    </row>
    <row r="33" spans="1:6" ht="15" customHeight="1" x14ac:dyDescent="0.25">
      <c r="A33" s="7" t="s">
        <v>24</v>
      </c>
      <c r="B33" s="8" t="s">
        <v>93</v>
      </c>
      <c r="C33" s="9" t="s">
        <v>93</v>
      </c>
      <c r="D33" s="25">
        <f>'J1'!D15</f>
        <v>1800</v>
      </c>
      <c r="E33" s="10"/>
      <c r="F33" s="26">
        <f>D33-(0)</f>
        <v>1800</v>
      </c>
    </row>
    <row r="34" spans="1:6" ht="15" customHeight="1" x14ac:dyDescent="0.25">
      <c r="A34" s="2" t="s">
        <v>45</v>
      </c>
      <c r="B34" s="17" t="s">
        <v>96</v>
      </c>
      <c r="C34" s="4" t="s">
        <v>97</v>
      </c>
      <c r="D34" s="6"/>
      <c r="E34" s="27">
        <f>'J2'!E12</f>
        <v>150</v>
      </c>
      <c r="F34" s="26">
        <f>D33-(E34)</f>
        <v>1650</v>
      </c>
    </row>
    <row r="35" spans="1:6" ht="15" customHeight="1" x14ac:dyDescent="0.25">
      <c r="A35" s="28" t="s">
        <v>45</v>
      </c>
      <c r="B35" s="29" t="s">
        <v>94</v>
      </c>
      <c r="C35" s="30"/>
      <c r="D35" s="30"/>
      <c r="E35" s="30"/>
      <c r="F35" s="31">
        <f>D33-(E34)</f>
        <v>1650</v>
      </c>
    </row>
    <row r="37" spans="1:6" ht="15" customHeight="1" x14ac:dyDescent="0.25">
      <c r="A37" s="54" t="s">
        <v>100</v>
      </c>
      <c r="B37" s="54"/>
      <c r="C37" s="54"/>
      <c r="D37" s="54"/>
      <c r="E37" s="54"/>
      <c r="F37" s="54"/>
    </row>
    <row r="38" spans="1:6" ht="15" customHeight="1" x14ac:dyDescent="0.25">
      <c r="A38" s="24" t="s">
        <v>3</v>
      </c>
      <c r="B38" s="24" t="s">
        <v>91</v>
      </c>
      <c r="C38" s="24" t="s">
        <v>5</v>
      </c>
      <c r="D38" s="24" t="s">
        <v>6</v>
      </c>
      <c r="E38" s="24" t="s">
        <v>7</v>
      </c>
      <c r="F38" s="24" t="s">
        <v>92</v>
      </c>
    </row>
    <row r="39" spans="1:6" ht="15" customHeight="1" x14ac:dyDescent="0.25">
      <c r="A39" s="7" t="s">
        <v>8</v>
      </c>
      <c r="B39" s="8" t="s">
        <v>93</v>
      </c>
      <c r="C39" s="9" t="s">
        <v>93</v>
      </c>
      <c r="D39" s="25">
        <f>'J1'!D8</f>
        <v>10000</v>
      </c>
      <c r="E39" s="10"/>
      <c r="F39" s="26">
        <f>D39-(0)</f>
        <v>10000</v>
      </c>
    </row>
    <row r="40" spans="1:6" ht="15" customHeight="1" x14ac:dyDescent="0.25">
      <c r="A40" s="28" t="s">
        <v>45</v>
      </c>
      <c r="B40" s="29" t="s">
        <v>94</v>
      </c>
      <c r="C40" s="30"/>
      <c r="D40" s="30"/>
      <c r="E40" s="30"/>
      <c r="F40" s="31">
        <f>D39-(0)</f>
        <v>10000</v>
      </c>
    </row>
    <row r="42" spans="1:6" ht="15" customHeight="1" x14ac:dyDescent="0.25">
      <c r="A42" s="54" t="s">
        <v>101</v>
      </c>
      <c r="B42" s="54"/>
      <c r="C42" s="54"/>
      <c r="D42" s="54"/>
      <c r="E42" s="54"/>
      <c r="F42" s="54"/>
    </row>
    <row r="43" spans="1:6" ht="15" customHeight="1" x14ac:dyDescent="0.25">
      <c r="A43" s="24" t="s">
        <v>3</v>
      </c>
      <c r="B43" s="24" t="s">
        <v>91</v>
      </c>
      <c r="C43" s="24" t="s">
        <v>5</v>
      </c>
      <c r="D43" s="24" t="s">
        <v>6</v>
      </c>
      <c r="E43" s="24" t="s">
        <v>7</v>
      </c>
      <c r="F43" s="24" t="s">
        <v>92</v>
      </c>
    </row>
    <row r="44" spans="1:6" ht="15" customHeight="1" x14ac:dyDescent="0.25">
      <c r="A44" s="7" t="s">
        <v>45</v>
      </c>
      <c r="B44" s="8" t="s">
        <v>96</v>
      </c>
      <c r="C44" s="9" t="s">
        <v>97</v>
      </c>
      <c r="D44" s="10"/>
      <c r="E44" s="27">
        <f>'J2'!E9</f>
        <v>200</v>
      </c>
      <c r="F44" s="26">
        <f>0-(E44)</f>
        <v>-200</v>
      </c>
    </row>
    <row r="45" spans="1:6" ht="15" customHeight="1" x14ac:dyDescent="0.25">
      <c r="A45" s="28" t="s">
        <v>45</v>
      </c>
      <c r="B45" s="29" t="s">
        <v>94</v>
      </c>
      <c r="C45" s="30"/>
      <c r="D45" s="30"/>
      <c r="E45" s="30"/>
      <c r="F45" s="31">
        <f>0-(E44)</f>
        <v>-200</v>
      </c>
    </row>
    <row r="47" spans="1:6" ht="15" customHeight="1" x14ac:dyDescent="0.25">
      <c r="A47" s="54" t="s">
        <v>102</v>
      </c>
      <c r="B47" s="54"/>
      <c r="C47" s="54"/>
      <c r="D47" s="54"/>
      <c r="E47" s="54"/>
      <c r="F47" s="54"/>
    </row>
    <row r="48" spans="1:6" ht="15" customHeight="1" x14ac:dyDescent="0.25">
      <c r="A48" s="24" t="s">
        <v>3</v>
      </c>
      <c r="B48" s="24" t="s">
        <v>91</v>
      </c>
      <c r="C48" s="24" t="s">
        <v>5</v>
      </c>
      <c r="D48" s="24" t="s">
        <v>6</v>
      </c>
      <c r="E48" s="24" t="s">
        <v>7</v>
      </c>
      <c r="F48" s="24" t="s">
        <v>92</v>
      </c>
    </row>
    <row r="49" spans="1:6" ht="15" customHeight="1" x14ac:dyDescent="0.25">
      <c r="A49" s="7" t="s">
        <v>8</v>
      </c>
      <c r="B49" s="8" t="s">
        <v>93</v>
      </c>
      <c r="C49" s="9" t="s">
        <v>93</v>
      </c>
      <c r="D49" s="10"/>
      <c r="E49" s="27">
        <f>'J1'!E10</f>
        <v>7000</v>
      </c>
      <c r="F49" s="26">
        <f>0-(E49)</f>
        <v>-7000</v>
      </c>
    </row>
    <row r="50" spans="1:6" ht="15" customHeight="1" x14ac:dyDescent="0.25">
      <c r="A50" s="2" t="s">
        <v>20</v>
      </c>
      <c r="B50" s="17" t="s">
        <v>93</v>
      </c>
      <c r="C50" s="4" t="s">
        <v>93</v>
      </c>
      <c r="D50" s="6"/>
      <c r="E50" s="27">
        <f>'J1'!E13</f>
        <v>1700</v>
      </c>
      <c r="F50" s="26">
        <f>0-(E49+E50)</f>
        <v>-8700</v>
      </c>
    </row>
    <row r="51" spans="1:6" ht="15" customHeight="1" x14ac:dyDescent="0.25">
      <c r="A51" s="7" t="s">
        <v>34</v>
      </c>
      <c r="B51" s="8" t="s">
        <v>93</v>
      </c>
      <c r="C51" s="9" t="s">
        <v>93</v>
      </c>
      <c r="D51" s="25">
        <f>'J1'!D21</f>
        <v>1400</v>
      </c>
      <c r="E51" s="10"/>
      <c r="F51" s="26">
        <f>D51-(E49+E50)</f>
        <v>-7300</v>
      </c>
    </row>
    <row r="52" spans="1:6" ht="15" customHeight="1" x14ac:dyDescent="0.25">
      <c r="A52" s="28" t="s">
        <v>45</v>
      </c>
      <c r="B52" s="29" t="s">
        <v>94</v>
      </c>
      <c r="C52" s="30"/>
      <c r="D52" s="30"/>
      <c r="E52" s="30"/>
      <c r="F52" s="31">
        <f>D51-(E49+E50)</f>
        <v>-7300</v>
      </c>
    </row>
    <row r="54" spans="1:6" ht="15" customHeight="1" x14ac:dyDescent="0.25">
      <c r="A54" s="54" t="s">
        <v>103</v>
      </c>
      <c r="B54" s="54"/>
      <c r="C54" s="54"/>
      <c r="D54" s="54"/>
      <c r="E54" s="54"/>
      <c r="F54" s="54"/>
    </row>
    <row r="55" spans="1:6" ht="15" customHeight="1" x14ac:dyDescent="0.25">
      <c r="A55" s="24" t="s">
        <v>3</v>
      </c>
      <c r="B55" s="24" t="s">
        <v>91</v>
      </c>
      <c r="C55" s="24" t="s">
        <v>5</v>
      </c>
      <c r="D55" s="24" t="s">
        <v>6</v>
      </c>
      <c r="E55" s="24" t="s">
        <v>7</v>
      </c>
      <c r="F55" s="24" t="s">
        <v>92</v>
      </c>
    </row>
    <row r="56" spans="1:6" ht="15" customHeight="1" x14ac:dyDescent="0.25">
      <c r="A56" s="7" t="s">
        <v>45</v>
      </c>
      <c r="B56" s="8" t="s">
        <v>96</v>
      </c>
      <c r="C56" s="9" t="s">
        <v>97</v>
      </c>
      <c r="D56" s="10"/>
      <c r="E56" s="27">
        <f>'J2'!E18</f>
        <v>630</v>
      </c>
      <c r="F56" s="26">
        <f>0-(E56)</f>
        <v>-630</v>
      </c>
    </row>
    <row r="57" spans="1:6" ht="15" customHeight="1" x14ac:dyDescent="0.25">
      <c r="A57" s="28" t="s">
        <v>45</v>
      </c>
      <c r="B57" s="29" t="s">
        <v>94</v>
      </c>
      <c r="C57" s="30"/>
      <c r="D57" s="30"/>
      <c r="E57" s="30"/>
      <c r="F57" s="31">
        <f>0-(E56)</f>
        <v>-630</v>
      </c>
    </row>
    <row r="59" spans="1:6" ht="15" customHeight="1" x14ac:dyDescent="0.25">
      <c r="A59" s="54" t="s">
        <v>104</v>
      </c>
      <c r="B59" s="54"/>
      <c r="C59" s="54"/>
      <c r="D59" s="54"/>
      <c r="E59" s="54"/>
      <c r="F59" s="54"/>
    </row>
    <row r="60" spans="1:6" ht="15" customHeight="1" x14ac:dyDescent="0.25">
      <c r="A60" s="24" t="s">
        <v>3</v>
      </c>
      <c r="B60" s="24" t="s">
        <v>91</v>
      </c>
      <c r="C60" s="24" t="s">
        <v>5</v>
      </c>
      <c r="D60" s="24" t="s">
        <v>6</v>
      </c>
      <c r="E60" s="24" t="s">
        <v>7</v>
      </c>
      <c r="F60" s="24" t="s">
        <v>92</v>
      </c>
    </row>
    <row r="61" spans="1:6" ht="15" customHeight="1" x14ac:dyDescent="0.25">
      <c r="A61" s="7" t="s">
        <v>8</v>
      </c>
      <c r="B61" s="8" t="s">
        <v>93</v>
      </c>
      <c r="C61" s="9" t="s">
        <v>93</v>
      </c>
      <c r="D61" s="10"/>
      <c r="E61" s="27">
        <f>'J1'!E6</f>
        <v>15000</v>
      </c>
      <c r="F61" s="26">
        <f>0-(E61)</f>
        <v>-15000</v>
      </c>
    </row>
    <row r="62" spans="1:6" ht="15" customHeight="1" x14ac:dyDescent="0.25">
      <c r="A62" s="28" t="s">
        <v>45</v>
      </c>
      <c r="B62" s="29" t="s">
        <v>94</v>
      </c>
      <c r="C62" s="30"/>
      <c r="D62" s="30"/>
      <c r="E62" s="30"/>
      <c r="F62" s="31">
        <f>0-(E61)</f>
        <v>-15000</v>
      </c>
    </row>
    <row r="64" spans="1:6" ht="15" customHeight="1" x14ac:dyDescent="0.25">
      <c r="A64" s="54" t="s">
        <v>105</v>
      </c>
      <c r="B64" s="54"/>
      <c r="C64" s="54"/>
      <c r="D64" s="54"/>
      <c r="E64" s="54"/>
      <c r="F64" s="54"/>
    </row>
    <row r="65" spans="1:6" ht="15" customHeight="1" x14ac:dyDescent="0.25">
      <c r="A65" s="24" t="s">
        <v>3</v>
      </c>
      <c r="B65" s="24" t="s">
        <v>91</v>
      </c>
      <c r="C65" s="24" t="s">
        <v>5</v>
      </c>
      <c r="D65" s="24" t="s">
        <v>6</v>
      </c>
      <c r="E65" s="24" t="s">
        <v>7</v>
      </c>
      <c r="F65" s="24" t="s">
        <v>92</v>
      </c>
    </row>
    <row r="66" spans="1:6" ht="15" customHeight="1" x14ac:dyDescent="0.25">
      <c r="A66" s="32" t="s">
        <v>45</v>
      </c>
      <c r="B66" s="19" t="s">
        <v>106</v>
      </c>
      <c r="C66" s="20" t="s">
        <v>107</v>
      </c>
      <c r="D66" s="21"/>
      <c r="E66" s="27">
        <f>'J3'!E16</f>
        <v>2900</v>
      </c>
      <c r="F66" s="26">
        <f>0-(E66)</f>
        <v>-2900</v>
      </c>
    </row>
    <row r="67" spans="1:6" ht="15" customHeight="1" x14ac:dyDescent="0.25">
      <c r="A67" s="32" t="s">
        <v>45</v>
      </c>
      <c r="B67" s="19" t="s">
        <v>106</v>
      </c>
      <c r="C67" s="20" t="s">
        <v>107</v>
      </c>
      <c r="D67" s="25">
        <f>'J3'!D18</f>
        <v>500</v>
      </c>
      <c r="E67" s="21"/>
      <c r="F67" s="26">
        <f>D67-(E66)</f>
        <v>-2400</v>
      </c>
    </row>
    <row r="68" spans="1:6" ht="15" customHeight="1" x14ac:dyDescent="0.25">
      <c r="A68" s="28" t="s">
        <v>45</v>
      </c>
      <c r="B68" s="29" t="s">
        <v>94</v>
      </c>
      <c r="C68" s="30"/>
      <c r="D68" s="30"/>
      <c r="E68" s="30"/>
      <c r="F68" s="31">
        <f>D67-(E66)</f>
        <v>-2400</v>
      </c>
    </row>
    <row r="70" spans="1:6" ht="15" customHeight="1" x14ac:dyDescent="0.25">
      <c r="A70" s="54" t="s">
        <v>108</v>
      </c>
      <c r="B70" s="54"/>
      <c r="C70" s="54"/>
      <c r="D70" s="54"/>
      <c r="E70" s="54"/>
      <c r="F70" s="54"/>
    </row>
    <row r="71" spans="1:6" ht="15" customHeight="1" x14ac:dyDescent="0.25">
      <c r="A71" s="24" t="s">
        <v>3</v>
      </c>
      <c r="B71" s="24" t="s">
        <v>91</v>
      </c>
      <c r="C71" s="24" t="s">
        <v>5</v>
      </c>
      <c r="D71" s="24" t="s">
        <v>6</v>
      </c>
      <c r="E71" s="24" t="s">
        <v>7</v>
      </c>
      <c r="F71" s="24" t="s">
        <v>92</v>
      </c>
    </row>
    <row r="72" spans="1:6" ht="15" customHeight="1" x14ac:dyDescent="0.25">
      <c r="A72" s="7" t="s">
        <v>45</v>
      </c>
      <c r="B72" s="8" t="s">
        <v>93</v>
      </c>
      <c r="C72" s="9" t="s">
        <v>93</v>
      </c>
      <c r="D72" s="25">
        <f>'J1'!D36</f>
        <v>500</v>
      </c>
      <c r="E72" s="10"/>
      <c r="F72" s="26">
        <f>D72-(0)</f>
        <v>500</v>
      </c>
    </row>
    <row r="73" spans="1:6" ht="15" customHeight="1" x14ac:dyDescent="0.25">
      <c r="A73" s="32" t="s">
        <v>45</v>
      </c>
      <c r="B73" s="19" t="s">
        <v>106</v>
      </c>
      <c r="C73" s="20" t="s">
        <v>107</v>
      </c>
      <c r="D73" s="21"/>
      <c r="E73" s="27">
        <f>'J3'!E19</f>
        <v>500</v>
      </c>
      <c r="F73" s="26">
        <f>D72-(E73)</f>
        <v>0</v>
      </c>
    </row>
    <row r="74" spans="1:6" ht="15" customHeight="1" x14ac:dyDescent="0.25">
      <c r="A74" s="28" t="s">
        <v>45</v>
      </c>
      <c r="B74" s="29" t="s">
        <v>94</v>
      </c>
      <c r="C74" s="30"/>
      <c r="D74" s="30"/>
      <c r="E74" s="30"/>
      <c r="F74" s="31">
        <f>D72-(E73)</f>
        <v>0</v>
      </c>
    </row>
    <row r="76" spans="1:6" ht="15" customHeight="1" x14ac:dyDescent="0.25">
      <c r="A76" s="54" t="s">
        <v>109</v>
      </c>
      <c r="B76" s="54"/>
      <c r="C76" s="54"/>
      <c r="D76" s="54"/>
      <c r="E76" s="54"/>
      <c r="F76" s="54"/>
    </row>
    <row r="77" spans="1:6" ht="15" customHeight="1" x14ac:dyDescent="0.25">
      <c r="A77" s="24" t="s">
        <v>3</v>
      </c>
      <c r="B77" s="24" t="s">
        <v>91</v>
      </c>
      <c r="C77" s="24" t="s">
        <v>5</v>
      </c>
      <c r="D77" s="24" t="s">
        <v>6</v>
      </c>
      <c r="E77" s="24" t="s">
        <v>7</v>
      </c>
      <c r="F77" s="24" t="s">
        <v>92</v>
      </c>
    </row>
    <row r="78" spans="1:6" ht="15" customHeight="1" x14ac:dyDescent="0.25">
      <c r="A78" s="7" t="s">
        <v>28</v>
      </c>
      <c r="B78" s="8" t="s">
        <v>93</v>
      </c>
      <c r="C78" s="9" t="s">
        <v>93</v>
      </c>
      <c r="D78" s="10"/>
      <c r="E78" s="27">
        <f>'J1'!E19</f>
        <v>4200</v>
      </c>
      <c r="F78" s="26">
        <f>0-(E78)</f>
        <v>-4200</v>
      </c>
    </row>
    <row r="79" spans="1:6" ht="15" customHeight="1" x14ac:dyDescent="0.25">
      <c r="A79" s="2" t="s">
        <v>44</v>
      </c>
      <c r="B79" s="17" t="s">
        <v>93</v>
      </c>
      <c r="C79" s="4" t="s">
        <v>93</v>
      </c>
      <c r="D79" s="6"/>
      <c r="E79" s="27">
        <f>'J1'!E31</f>
        <v>2100</v>
      </c>
      <c r="F79" s="26">
        <f>0-(E78+E79)</f>
        <v>-6300</v>
      </c>
    </row>
    <row r="80" spans="1:6" ht="15" customHeight="1" x14ac:dyDescent="0.25">
      <c r="A80" s="7" t="s">
        <v>45</v>
      </c>
      <c r="B80" s="8" t="s">
        <v>96</v>
      </c>
      <c r="C80" s="9" t="s">
        <v>97</v>
      </c>
      <c r="D80" s="10"/>
      <c r="E80" s="27">
        <f>'J2'!E6</f>
        <v>1300</v>
      </c>
      <c r="F80" s="26">
        <f>0-(E78+E79+E80)</f>
        <v>-7600</v>
      </c>
    </row>
    <row r="81" spans="1:6" ht="15" customHeight="1" x14ac:dyDescent="0.25">
      <c r="A81" s="32" t="s">
        <v>45</v>
      </c>
      <c r="B81" s="19" t="s">
        <v>106</v>
      </c>
      <c r="C81" s="20" t="s">
        <v>107</v>
      </c>
      <c r="D81" s="25">
        <f>'J3'!D5</f>
        <v>7600</v>
      </c>
      <c r="E81" s="21"/>
      <c r="F81" s="26">
        <f>D81-(E78+E79+E80)</f>
        <v>0</v>
      </c>
    </row>
    <row r="82" spans="1:6" ht="15" customHeight="1" x14ac:dyDescent="0.25">
      <c r="A82" s="28" t="s">
        <v>45</v>
      </c>
      <c r="B82" s="29" t="s">
        <v>94</v>
      </c>
      <c r="C82" s="30"/>
      <c r="D82" s="30"/>
      <c r="E82" s="30"/>
      <c r="F82" s="31">
        <f>D81-(E78+E79+E80)</f>
        <v>0</v>
      </c>
    </row>
    <row r="84" spans="1:6" ht="15" customHeight="1" x14ac:dyDescent="0.25">
      <c r="A84" s="54" t="s">
        <v>110</v>
      </c>
      <c r="B84" s="54"/>
      <c r="C84" s="54"/>
      <c r="D84" s="54"/>
      <c r="E84" s="54"/>
      <c r="F84" s="54"/>
    </row>
    <row r="85" spans="1:6" ht="15" customHeight="1" x14ac:dyDescent="0.25">
      <c r="A85" s="24" t="s">
        <v>3</v>
      </c>
      <c r="B85" s="24" t="s">
        <v>91</v>
      </c>
      <c r="C85" s="24" t="s">
        <v>5</v>
      </c>
      <c r="D85" s="24" t="s">
        <v>6</v>
      </c>
      <c r="E85" s="24" t="s">
        <v>7</v>
      </c>
      <c r="F85" s="24" t="s">
        <v>92</v>
      </c>
    </row>
    <row r="86" spans="1:6" ht="15" customHeight="1" x14ac:dyDescent="0.25">
      <c r="A86" s="7" t="s">
        <v>45</v>
      </c>
      <c r="B86" s="8" t="s">
        <v>93</v>
      </c>
      <c r="C86" s="9" t="s">
        <v>93</v>
      </c>
      <c r="D86" s="25">
        <f>'J1'!D33</f>
        <v>400</v>
      </c>
      <c r="E86" s="10"/>
      <c r="F86" s="26">
        <f>D86-(0)</f>
        <v>400</v>
      </c>
    </row>
    <row r="87" spans="1:6" ht="15" customHeight="1" x14ac:dyDescent="0.25">
      <c r="A87" s="32" t="s">
        <v>45</v>
      </c>
      <c r="B87" s="19" t="s">
        <v>106</v>
      </c>
      <c r="C87" s="20" t="s">
        <v>107</v>
      </c>
      <c r="D87" s="21"/>
      <c r="E87" s="27">
        <f>'J3'!E11</f>
        <v>400</v>
      </c>
      <c r="F87" s="26">
        <f>D86-(E87)</f>
        <v>0</v>
      </c>
    </row>
    <row r="88" spans="1:6" ht="15" customHeight="1" x14ac:dyDescent="0.25">
      <c r="A88" s="28" t="s">
        <v>45</v>
      </c>
      <c r="B88" s="29" t="s">
        <v>94</v>
      </c>
      <c r="C88" s="30"/>
      <c r="D88" s="30"/>
      <c r="E88" s="30"/>
      <c r="F88" s="31">
        <f>D86-(E87)</f>
        <v>0</v>
      </c>
    </row>
    <row r="90" spans="1:6" ht="15" customHeight="1" x14ac:dyDescent="0.25">
      <c r="A90" s="54" t="s">
        <v>111</v>
      </c>
      <c r="B90" s="54"/>
      <c r="C90" s="54"/>
      <c r="D90" s="54"/>
      <c r="E90" s="54"/>
      <c r="F90" s="54"/>
    </row>
    <row r="91" spans="1:6" ht="15" customHeight="1" x14ac:dyDescent="0.25">
      <c r="A91" s="24" t="s">
        <v>3</v>
      </c>
      <c r="B91" s="24" t="s">
        <v>91</v>
      </c>
      <c r="C91" s="24" t="s">
        <v>5</v>
      </c>
      <c r="D91" s="24" t="s">
        <v>6</v>
      </c>
      <c r="E91" s="24" t="s">
        <v>7</v>
      </c>
      <c r="F91" s="24" t="s">
        <v>92</v>
      </c>
    </row>
    <row r="92" spans="1:6" ht="15" customHeight="1" x14ac:dyDescent="0.25">
      <c r="A92" s="7" t="s">
        <v>45</v>
      </c>
      <c r="B92" s="8" t="s">
        <v>96</v>
      </c>
      <c r="C92" s="9" t="s">
        <v>97</v>
      </c>
      <c r="D92" s="25">
        <f>'J2'!D14</f>
        <v>1420</v>
      </c>
      <c r="E92" s="10"/>
      <c r="F92" s="26">
        <f>D92-(0)</f>
        <v>1420</v>
      </c>
    </row>
    <row r="93" spans="1:6" ht="15" customHeight="1" x14ac:dyDescent="0.25">
      <c r="A93" s="32" t="s">
        <v>45</v>
      </c>
      <c r="B93" s="19" t="s">
        <v>106</v>
      </c>
      <c r="C93" s="20" t="s">
        <v>107</v>
      </c>
      <c r="D93" s="21"/>
      <c r="E93" s="27">
        <f>'J3'!E10</f>
        <v>1420</v>
      </c>
      <c r="F93" s="26">
        <f>D92-(E93)</f>
        <v>0</v>
      </c>
    </row>
    <row r="94" spans="1:6" ht="15" customHeight="1" x14ac:dyDescent="0.25">
      <c r="A94" s="28" t="s">
        <v>45</v>
      </c>
      <c r="B94" s="29" t="s">
        <v>94</v>
      </c>
      <c r="C94" s="30"/>
      <c r="D94" s="30"/>
      <c r="E94" s="30"/>
      <c r="F94" s="31">
        <f>D92-(E93)</f>
        <v>0</v>
      </c>
    </row>
    <row r="96" spans="1:6" ht="15" customHeight="1" x14ac:dyDescent="0.25">
      <c r="A96" s="54" t="s">
        <v>112</v>
      </c>
      <c r="B96" s="54"/>
      <c r="C96" s="54"/>
      <c r="D96" s="54"/>
      <c r="E96" s="54"/>
      <c r="F96" s="54"/>
    </row>
    <row r="97" spans="1:6" ht="15" customHeight="1" x14ac:dyDescent="0.25">
      <c r="A97" s="24" t="s">
        <v>3</v>
      </c>
      <c r="B97" s="24" t="s">
        <v>91</v>
      </c>
      <c r="C97" s="24" t="s">
        <v>5</v>
      </c>
      <c r="D97" s="24" t="s">
        <v>6</v>
      </c>
      <c r="E97" s="24" t="s">
        <v>7</v>
      </c>
      <c r="F97" s="24" t="s">
        <v>92</v>
      </c>
    </row>
    <row r="98" spans="1:6" ht="15" customHeight="1" x14ac:dyDescent="0.25">
      <c r="A98" s="7" t="s">
        <v>45</v>
      </c>
      <c r="B98" s="8" t="s">
        <v>96</v>
      </c>
      <c r="C98" s="9" t="s">
        <v>97</v>
      </c>
      <c r="D98" s="25">
        <f>'J2'!D8</f>
        <v>200</v>
      </c>
      <c r="E98" s="10"/>
      <c r="F98" s="26">
        <f>D98-(0)</f>
        <v>200</v>
      </c>
    </row>
    <row r="99" spans="1:6" ht="15" customHeight="1" x14ac:dyDescent="0.25">
      <c r="A99" s="32" t="s">
        <v>45</v>
      </c>
      <c r="B99" s="19" t="s">
        <v>106</v>
      </c>
      <c r="C99" s="20" t="s">
        <v>107</v>
      </c>
      <c r="D99" s="21"/>
      <c r="E99" s="27">
        <f>'J3'!E12</f>
        <v>200</v>
      </c>
      <c r="F99" s="26">
        <f>D98-(E99)</f>
        <v>0</v>
      </c>
    </row>
    <row r="100" spans="1:6" ht="15" customHeight="1" x14ac:dyDescent="0.25">
      <c r="A100" s="28" t="s">
        <v>45</v>
      </c>
      <c r="B100" s="29" t="s">
        <v>94</v>
      </c>
      <c r="C100" s="30"/>
      <c r="D100" s="30"/>
      <c r="E100" s="30"/>
      <c r="F100" s="31">
        <f>D98-(E99)</f>
        <v>0</v>
      </c>
    </row>
    <row r="102" spans="1:6" ht="15" customHeight="1" x14ac:dyDescent="0.25">
      <c r="A102" s="54" t="s">
        <v>113</v>
      </c>
      <c r="B102" s="54"/>
      <c r="C102" s="54"/>
      <c r="D102" s="54"/>
      <c r="E102" s="54"/>
      <c r="F102" s="54"/>
    </row>
    <row r="103" spans="1:6" ht="15" customHeight="1" x14ac:dyDescent="0.25">
      <c r="A103" s="24" t="s">
        <v>3</v>
      </c>
      <c r="B103" s="24" t="s">
        <v>91</v>
      </c>
      <c r="C103" s="24" t="s">
        <v>5</v>
      </c>
      <c r="D103" s="24" t="s">
        <v>6</v>
      </c>
      <c r="E103" s="24" t="s">
        <v>7</v>
      </c>
      <c r="F103" s="24" t="s">
        <v>92</v>
      </c>
    </row>
    <row r="104" spans="1:6" ht="15" customHeight="1" x14ac:dyDescent="0.25">
      <c r="A104" s="7" t="s">
        <v>45</v>
      </c>
      <c r="B104" s="8" t="s">
        <v>96</v>
      </c>
      <c r="C104" s="9" t="s">
        <v>97</v>
      </c>
      <c r="D104" s="25">
        <f>'J2'!D11</f>
        <v>150</v>
      </c>
      <c r="E104" s="10"/>
      <c r="F104" s="26">
        <f>D104-(0)</f>
        <v>150</v>
      </c>
    </row>
    <row r="105" spans="1:6" ht="15" customHeight="1" x14ac:dyDescent="0.25">
      <c r="A105" s="32" t="s">
        <v>45</v>
      </c>
      <c r="B105" s="19" t="s">
        <v>106</v>
      </c>
      <c r="C105" s="20" t="s">
        <v>107</v>
      </c>
      <c r="D105" s="21"/>
      <c r="E105" s="27">
        <f>'J3'!E13</f>
        <v>150</v>
      </c>
      <c r="F105" s="26">
        <f>D104-(E105)</f>
        <v>0</v>
      </c>
    </row>
    <row r="106" spans="1:6" ht="15" customHeight="1" x14ac:dyDescent="0.25">
      <c r="A106" s="28" t="s">
        <v>45</v>
      </c>
      <c r="B106" s="29" t="s">
        <v>94</v>
      </c>
      <c r="C106" s="30"/>
      <c r="D106" s="30"/>
      <c r="E106" s="30"/>
      <c r="F106" s="31">
        <f>D104-(E105)</f>
        <v>0</v>
      </c>
    </row>
    <row r="108" spans="1:6" ht="15" customHeight="1" x14ac:dyDescent="0.25">
      <c r="A108" s="54" t="s">
        <v>114</v>
      </c>
      <c r="B108" s="54"/>
      <c r="C108" s="54"/>
      <c r="D108" s="54"/>
      <c r="E108" s="54"/>
      <c r="F108" s="54"/>
    </row>
    <row r="109" spans="1:6" ht="15" customHeight="1" x14ac:dyDescent="0.25">
      <c r="A109" s="24" t="s">
        <v>3</v>
      </c>
      <c r="B109" s="24" t="s">
        <v>91</v>
      </c>
      <c r="C109" s="24" t="s">
        <v>5</v>
      </c>
      <c r="D109" s="24" t="s">
        <v>6</v>
      </c>
      <c r="E109" s="24" t="s">
        <v>7</v>
      </c>
      <c r="F109" s="24" t="s">
        <v>92</v>
      </c>
    </row>
    <row r="110" spans="1:6" ht="15" customHeight="1" x14ac:dyDescent="0.25">
      <c r="A110" s="7" t="s">
        <v>37</v>
      </c>
      <c r="B110" s="8" t="s">
        <v>93</v>
      </c>
      <c r="C110" s="9" t="s">
        <v>93</v>
      </c>
      <c r="D110" s="25">
        <f>'J1'!D24</f>
        <v>1900</v>
      </c>
      <c r="E110" s="10"/>
      <c r="F110" s="26">
        <f>D110-(0)</f>
        <v>1900</v>
      </c>
    </row>
    <row r="111" spans="1:6" ht="15" customHeight="1" x14ac:dyDescent="0.25">
      <c r="A111" s="2" t="s">
        <v>45</v>
      </c>
      <c r="B111" s="17" t="s">
        <v>96</v>
      </c>
      <c r="C111" s="4" t="s">
        <v>97</v>
      </c>
      <c r="D111" s="25">
        <f>'J2'!D17</f>
        <v>630</v>
      </c>
      <c r="E111" s="6"/>
      <c r="F111" s="26">
        <f>D110+D111-(0)</f>
        <v>2530</v>
      </c>
    </row>
    <row r="112" spans="1:6" ht="15" customHeight="1" x14ac:dyDescent="0.25">
      <c r="A112" s="32" t="s">
        <v>45</v>
      </c>
      <c r="B112" s="19" t="s">
        <v>106</v>
      </c>
      <c r="C112" s="20" t="s">
        <v>107</v>
      </c>
      <c r="D112" s="21"/>
      <c r="E112" s="27">
        <f>'J3'!E9</f>
        <v>2530</v>
      </c>
      <c r="F112" s="26">
        <f>D110+D111-(E112)</f>
        <v>0</v>
      </c>
    </row>
    <row r="113" spans="1:6" ht="15" customHeight="1" x14ac:dyDescent="0.25">
      <c r="A113" s="28" t="s">
        <v>45</v>
      </c>
      <c r="B113" s="29" t="s">
        <v>94</v>
      </c>
      <c r="C113" s="30"/>
      <c r="D113" s="30"/>
      <c r="E113" s="30"/>
      <c r="F113" s="31">
        <f>D110+D111-(E112)</f>
        <v>0</v>
      </c>
    </row>
  </sheetData>
  <mergeCells count="20">
    <mergeCell ref="A1:F1"/>
    <mergeCell ref="A2:F2"/>
    <mergeCell ref="A3:F3"/>
    <mergeCell ref="A5:F5"/>
    <mergeCell ref="A17:F17"/>
    <mergeCell ref="A25:F25"/>
    <mergeCell ref="A31:F31"/>
    <mergeCell ref="A37:F37"/>
    <mergeCell ref="A42:F42"/>
    <mergeCell ref="A47:F47"/>
    <mergeCell ref="A54:F54"/>
    <mergeCell ref="A59:F59"/>
    <mergeCell ref="A64:F64"/>
    <mergeCell ref="A70:F70"/>
    <mergeCell ref="A76:F76"/>
    <mergeCell ref="A84:F84"/>
    <mergeCell ref="A90:F90"/>
    <mergeCell ref="A96:F96"/>
    <mergeCell ref="A102:F102"/>
    <mergeCell ref="A108:F10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5B6"/>
  </sheetPr>
  <dimension ref="A1:I25"/>
  <sheetViews>
    <sheetView showGridLines="0" zoomScaleNormal="100" workbookViewId="0">
      <pane xSplit="1" ySplit="5" topLeftCell="F17" activePane="bottomRight" state="frozen"/>
      <selection pane="topRight" activeCell="B1" sqref="B1"/>
      <selection pane="bottomLeft" activeCell="A6" sqref="A6"/>
      <selection pane="bottomRight" activeCell="E14" sqref="E14"/>
    </sheetView>
  </sheetViews>
  <sheetFormatPr defaultColWidth="8.7109375" defaultRowHeight="15" x14ac:dyDescent="0.25"/>
  <cols>
    <col min="1" max="1" width="28" customWidth="1"/>
    <col min="2" max="9" width="14" customWidth="1"/>
  </cols>
  <sheetData>
    <row r="1" spans="1:9" ht="17.25" customHeight="1" thickTop="1" thickBot="1" x14ac:dyDescent="0.3">
      <c r="A1" s="50" t="s">
        <v>0</v>
      </c>
      <c r="B1" s="50"/>
      <c r="C1" s="50"/>
      <c r="D1" s="50"/>
      <c r="E1" s="50"/>
      <c r="F1" s="50"/>
      <c r="G1" s="50"/>
      <c r="H1" s="50"/>
      <c r="I1" s="50"/>
    </row>
    <row r="2" spans="1:9" ht="15" customHeight="1" thickTop="1" thickBot="1" x14ac:dyDescent="0.3">
      <c r="A2" s="51" t="s">
        <v>115</v>
      </c>
      <c r="B2" s="51"/>
      <c r="C2" s="51"/>
      <c r="D2" s="51"/>
      <c r="E2" s="51"/>
      <c r="F2" s="51"/>
      <c r="G2" s="51"/>
      <c r="H2" s="51"/>
      <c r="I2" s="51"/>
    </row>
    <row r="3" spans="1:9" ht="15" customHeight="1" thickBot="1" x14ac:dyDescent="0.3">
      <c r="A3" s="52" t="s">
        <v>2</v>
      </c>
      <c r="B3" s="52"/>
      <c r="C3" s="52"/>
      <c r="D3" s="52"/>
      <c r="E3" s="52"/>
      <c r="F3" s="52"/>
      <c r="G3" s="52"/>
      <c r="H3" s="52"/>
      <c r="I3" s="52"/>
    </row>
    <row r="4" spans="1:9" ht="27.75" customHeight="1" thickTop="1" thickBot="1" x14ac:dyDescent="0.3">
      <c r="A4" s="1" t="s">
        <v>116</v>
      </c>
      <c r="B4" s="55" t="s">
        <v>117</v>
      </c>
      <c r="C4" s="55"/>
      <c r="D4" s="56" t="s">
        <v>118</v>
      </c>
      <c r="E4" s="56"/>
      <c r="F4" s="55" t="s">
        <v>119</v>
      </c>
      <c r="G4" s="55"/>
      <c r="H4" s="56" t="s">
        <v>120</v>
      </c>
      <c r="I4" s="56"/>
    </row>
    <row r="5" spans="1:9" ht="15" customHeight="1" thickTop="1" thickBot="1" x14ac:dyDescent="0.3">
      <c r="B5" s="1" t="s">
        <v>121</v>
      </c>
      <c r="C5" s="1" t="s">
        <v>122</v>
      </c>
      <c r="D5" s="1" t="s">
        <v>121</v>
      </c>
      <c r="E5" s="1" t="s">
        <v>122</v>
      </c>
      <c r="F5" s="1" t="s">
        <v>121</v>
      </c>
      <c r="G5" s="1" t="s">
        <v>122</v>
      </c>
      <c r="H5" s="1" t="s">
        <v>121</v>
      </c>
      <c r="I5" s="1" t="s">
        <v>122</v>
      </c>
    </row>
    <row r="6" spans="1:9" ht="15" customHeight="1" thickTop="1" x14ac:dyDescent="0.25">
      <c r="A6" s="16" t="s">
        <v>9</v>
      </c>
      <c r="B6" s="33">
        <f>'J1'!D5+'J1'!D27-(    'J1'!E9+'J1'!E16+'J1'!E22+'J1'!E25+'J1'!E34+'J1'!E37)</f>
        <v>8400</v>
      </c>
      <c r="C6" s="10"/>
      <c r="D6" s="10"/>
      <c r="E6" s="10"/>
      <c r="F6" s="33">
        <f>IFERROR(B6,0)+IFERROR(D6,0)-IFERROR(E6,0)</f>
        <v>8400</v>
      </c>
      <c r="G6" s="10"/>
      <c r="H6" s="10"/>
      <c r="I6" s="10"/>
    </row>
    <row r="7" spans="1:9" ht="15" customHeight="1" x14ac:dyDescent="0.25">
      <c r="A7" s="3" t="s">
        <v>29</v>
      </c>
      <c r="B7" s="33">
        <f>'J1'!D18+'J1'!D30-(    'J1'!E28)</f>
        <v>3900</v>
      </c>
      <c r="C7" s="6"/>
      <c r="D7" s="33">
        <f>'J2'!D5</f>
        <v>1300</v>
      </c>
      <c r="E7" s="6"/>
      <c r="F7" s="33">
        <f>IFERROR(B7,0)+IFERROR(D7,0)-IFERROR(E7,0)</f>
        <v>5200</v>
      </c>
      <c r="G7" s="6"/>
      <c r="H7" s="6"/>
      <c r="I7" s="6"/>
    </row>
    <row r="8" spans="1:9" ht="15" customHeight="1" x14ac:dyDescent="0.25">
      <c r="A8" s="16" t="s">
        <v>21</v>
      </c>
      <c r="B8" s="33">
        <f>'J1'!D12</f>
        <v>1700</v>
      </c>
      <c r="C8" s="10"/>
      <c r="D8" s="10"/>
      <c r="E8" s="27">
        <f>'J2'!E15</f>
        <v>1420</v>
      </c>
      <c r="F8" s="33">
        <f>IFERROR(B8,0)+IFERROR(D8,0)-IFERROR(E8,0)</f>
        <v>280</v>
      </c>
      <c r="G8" s="10"/>
      <c r="H8" s="10"/>
      <c r="I8" s="10"/>
    </row>
    <row r="9" spans="1:9" ht="15" customHeight="1" x14ac:dyDescent="0.25">
      <c r="A9" s="3" t="s">
        <v>25</v>
      </c>
      <c r="B9" s="33">
        <f>'J1'!D15</f>
        <v>1800</v>
      </c>
      <c r="C9" s="6"/>
      <c r="D9" s="6"/>
      <c r="E9" s="27">
        <f>'J2'!E12</f>
        <v>150</v>
      </c>
      <c r="F9" s="33">
        <f>IFERROR(B9,0)+IFERROR(D9,0)-IFERROR(E9,0)</f>
        <v>1650</v>
      </c>
      <c r="G9" s="6"/>
      <c r="H9" s="6"/>
      <c r="I9" s="6"/>
    </row>
    <row r="10" spans="1:9" ht="15" customHeight="1" x14ac:dyDescent="0.25">
      <c r="A10" s="16" t="s">
        <v>14</v>
      </c>
      <c r="B10" s="33">
        <f>'J1'!D8</f>
        <v>10000</v>
      </c>
      <c r="C10" s="10"/>
      <c r="D10" s="10"/>
      <c r="E10" s="10"/>
      <c r="F10" s="33">
        <f>IFERROR(B10,0)+IFERROR(D10,0)-IFERROR(E10,0)</f>
        <v>10000</v>
      </c>
      <c r="G10" s="10"/>
      <c r="H10" s="10"/>
      <c r="I10" s="10"/>
    </row>
    <row r="11" spans="1:9" ht="15" customHeight="1" x14ac:dyDescent="0.25">
      <c r="A11" s="3" t="s">
        <v>35</v>
      </c>
      <c r="B11" s="6"/>
      <c r="C11" s="27">
        <f>'J1'!E10+'J1'!E13-(    'J1'!D21)</f>
        <v>7300</v>
      </c>
      <c r="D11" s="6"/>
      <c r="E11" s="6"/>
      <c r="F11" s="6"/>
      <c r="G11" s="27">
        <f>IFERROR(C11,0)+IFERROR(E11,0)-IFERROR(D11,0)</f>
        <v>7300</v>
      </c>
      <c r="H11" s="6"/>
      <c r="I11" s="6"/>
    </row>
    <row r="12" spans="1:9" ht="15" customHeight="1" x14ac:dyDescent="0.25">
      <c r="A12" s="16" t="s">
        <v>123</v>
      </c>
      <c r="B12" s="10"/>
      <c r="C12" s="27">
        <f>'J1'!E6</f>
        <v>15000</v>
      </c>
      <c r="D12" s="10"/>
      <c r="E12" s="10"/>
      <c r="F12" s="10"/>
      <c r="G12" s="27">
        <f>IFERROR(C12,0)+IFERROR(E12,0)-IFERROR(D12,0)</f>
        <v>15000</v>
      </c>
      <c r="H12" s="10"/>
      <c r="I12" s="10"/>
    </row>
    <row r="13" spans="1:9" ht="15" customHeight="1" x14ac:dyDescent="0.25">
      <c r="A13" s="3" t="s">
        <v>49</v>
      </c>
      <c r="B13" s="33">
        <f>'J1'!D36</f>
        <v>500</v>
      </c>
      <c r="C13" s="6"/>
      <c r="D13" s="6"/>
      <c r="E13" s="6"/>
      <c r="F13" s="33">
        <f>IFERROR(B13,0)+IFERROR(D13,0)-IFERROR(E13,0)</f>
        <v>500</v>
      </c>
      <c r="G13" s="6"/>
      <c r="H13" s="6"/>
      <c r="I13" s="6"/>
    </row>
    <row r="14" spans="1:9" ht="15" customHeight="1" x14ac:dyDescent="0.25">
      <c r="A14" s="16" t="s">
        <v>72</v>
      </c>
      <c r="B14" s="10"/>
      <c r="C14" s="27">
        <f>'J1'!E19+'J1'!E31</f>
        <v>6300</v>
      </c>
      <c r="D14" s="10"/>
      <c r="E14" s="27">
        <f>'J2'!E6</f>
        <v>1300</v>
      </c>
      <c r="F14" s="10"/>
      <c r="G14" s="27">
        <f>IFERROR(C14,0)+IFERROR(E14,0)-IFERROR(D14,0)</f>
        <v>7600</v>
      </c>
      <c r="H14" s="10"/>
      <c r="I14" s="35">
        <f>G14</f>
        <v>7600</v>
      </c>
    </row>
    <row r="15" spans="1:9" ht="15" customHeight="1" x14ac:dyDescent="0.25">
      <c r="A15" s="3" t="s">
        <v>46</v>
      </c>
      <c r="B15" s="33">
        <f>'J1'!D33</f>
        <v>400</v>
      </c>
      <c r="C15" s="6"/>
      <c r="D15" s="6"/>
      <c r="E15" s="6"/>
      <c r="F15" s="33">
        <f>IFERROR(B15,0)+IFERROR(D15,0)-IFERROR(E15,0)</f>
        <v>400</v>
      </c>
      <c r="G15" s="6"/>
      <c r="H15" s="34">
        <f>F15</f>
        <v>400</v>
      </c>
      <c r="I15" s="6"/>
    </row>
    <row r="16" spans="1:9" ht="15" customHeight="1" x14ac:dyDescent="0.25">
      <c r="A16" s="16" t="s">
        <v>124</v>
      </c>
      <c r="B16" s="33">
        <f>'J1'!D24</f>
        <v>1900</v>
      </c>
      <c r="C16" s="10"/>
      <c r="D16" s="33">
        <f>'J2'!D17</f>
        <v>630</v>
      </c>
      <c r="E16" s="10"/>
      <c r="F16" s="33">
        <f>IFERROR(B16,0)+IFERROR(D16,0)-IFERROR(E16,0)</f>
        <v>2530</v>
      </c>
      <c r="G16" s="10"/>
      <c r="H16" s="34">
        <f>F16</f>
        <v>2530</v>
      </c>
      <c r="I16" s="10"/>
    </row>
    <row r="17" spans="1:9" ht="15" customHeight="1" x14ac:dyDescent="0.25">
      <c r="A17" s="3" t="s">
        <v>55</v>
      </c>
      <c r="B17" s="6"/>
      <c r="C17" s="6"/>
      <c r="D17" s="33">
        <f>'J2'!D8</f>
        <v>200</v>
      </c>
      <c r="E17" s="6"/>
      <c r="F17" s="33">
        <f>IFERROR(B17,0)+IFERROR(D17,0)-IFERROR(E17,0)</f>
        <v>200</v>
      </c>
      <c r="G17" s="6"/>
      <c r="H17" s="34">
        <f>F17</f>
        <v>200</v>
      </c>
      <c r="I17" s="6"/>
    </row>
    <row r="18" spans="1:9" ht="15" customHeight="1" x14ac:dyDescent="0.25">
      <c r="A18" s="16" t="s">
        <v>125</v>
      </c>
      <c r="B18" s="10"/>
      <c r="C18" s="10"/>
      <c r="D18" s="10"/>
      <c r="E18" s="27">
        <f>'J2'!E9</f>
        <v>200</v>
      </c>
      <c r="F18" s="10"/>
      <c r="G18" s="27">
        <f>IFERROR(C18,0)+IFERROR(E18,0)-IFERROR(D18,0)</f>
        <v>200</v>
      </c>
      <c r="H18" s="10"/>
      <c r="I18" s="10"/>
    </row>
    <row r="19" spans="1:9" ht="15" customHeight="1" x14ac:dyDescent="0.25">
      <c r="A19" s="3" t="s">
        <v>60</v>
      </c>
      <c r="B19" s="6"/>
      <c r="C19" s="6"/>
      <c r="D19" s="33">
        <f>'J2'!D11</f>
        <v>150</v>
      </c>
      <c r="E19" s="6"/>
      <c r="F19" s="33">
        <f>IFERROR(B19,0)+IFERROR(D19,0)-IFERROR(E19,0)</f>
        <v>150</v>
      </c>
      <c r="G19" s="6"/>
      <c r="H19" s="34">
        <f>F19</f>
        <v>150</v>
      </c>
      <c r="I19" s="6"/>
    </row>
    <row r="20" spans="1:9" ht="15" customHeight="1" x14ac:dyDescent="0.25">
      <c r="A20" s="16" t="s">
        <v>64</v>
      </c>
      <c r="B20" s="10"/>
      <c r="C20" s="10"/>
      <c r="D20" s="33">
        <f>'J2'!D14</f>
        <v>1420</v>
      </c>
      <c r="E20" s="10"/>
      <c r="F20" s="33">
        <f>IFERROR(B20,0)+IFERROR(D20,0)-IFERROR(E20,0)</f>
        <v>1420</v>
      </c>
      <c r="G20" s="10"/>
      <c r="H20" s="34">
        <f>F20</f>
        <v>1420</v>
      </c>
      <c r="I20" s="10"/>
    </row>
    <row r="21" spans="1:9" ht="15" customHeight="1" thickBot="1" x14ac:dyDescent="0.3">
      <c r="A21" s="3" t="s">
        <v>126</v>
      </c>
      <c r="B21" s="6"/>
      <c r="C21" s="6"/>
      <c r="D21" s="6"/>
      <c r="E21" s="27">
        <f>'J2'!E18</f>
        <v>630</v>
      </c>
      <c r="F21" s="6"/>
      <c r="G21" s="27">
        <f>IFERROR(C21,0)+IFERROR(E21,0)-IFERROR(D21,0)</f>
        <v>630</v>
      </c>
      <c r="H21" s="6"/>
      <c r="I21" s="6"/>
    </row>
    <row r="22" spans="1:9" ht="15" customHeight="1" thickTop="1" thickBot="1" x14ac:dyDescent="0.3">
      <c r="A22" s="29" t="s">
        <v>127</v>
      </c>
      <c r="B22" s="36">
        <f t="shared" ref="B22:I22" si="0">SUM(B6:B21)</f>
        <v>28600</v>
      </c>
      <c r="C22" s="36">
        <f t="shared" si="0"/>
        <v>28600</v>
      </c>
      <c r="D22" s="36">
        <f t="shared" si="0"/>
        <v>3700</v>
      </c>
      <c r="E22" s="36">
        <f t="shared" si="0"/>
        <v>3700</v>
      </c>
      <c r="F22" s="36">
        <f t="shared" si="0"/>
        <v>30730</v>
      </c>
      <c r="G22" s="36">
        <f t="shared" si="0"/>
        <v>30730</v>
      </c>
      <c r="H22" s="36">
        <f t="shared" si="0"/>
        <v>4700</v>
      </c>
      <c r="I22" s="36">
        <f t="shared" si="0"/>
        <v>7600</v>
      </c>
    </row>
    <row r="23" spans="1:9" ht="15" customHeight="1" thickTop="1" thickBot="1" x14ac:dyDescent="0.3">
      <c r="A23" s="37" t="s">
        <v>128</v>
      </c>
      <c r="B23" s="38"/>
      <c r="C23" s="38"/>
      <c r="D23" s="38"/>
      <c r="E23" s="38"/>
      <c r="F23" s="38"/>
      <c r="G23" s="38"/>
      <c r="H23" s="39">
        <f>I22-H22</f>
        <v>2900</v>
      </c>
      <c r="I23" s="38"/>
    </row>
    <row r="24" spans="1:9" ht="15" customHeight="1" thickTop="1" thickBot="1" x14ac:dyDescent="0.3">
      <c r="A24" s="29" t="s">
        <v>129</v>
      </c>
      <c r="B24" s="40"/>
      <c r="C24" s="40"/>
      <c r="D24" s="40"/>
      <c r="E24" s="40"/>
      <c r="F24" s="40"/>
      <c r="G24" s="40"/>
      <c r="H24" s="41">
        <f>H22+H23</f>
        <v>7600</v>
      </c>
      <c r="I24" s="41">
        <f>I22</f>
        <v>7600</v>
      </c>
    </row>
    <row r="25" spans="1:9" ht="15.75" thickTop="1" x14ac:dyDescent="0.25"/>
  </sheetData>
  <mergeCells count="7">
    <mergeCell ref="A1:I1"/>
    <mergeCell ref="A2:I2"/>
    <mergeCell ref="A3:I3"/>
    <mergeCell ref="B4:C4"/>
    <mergeCell ref="D4:E4"/>
    <mergeCell ref="F4:G4"/>
    <mergeCell ref="H4:I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75623"/>
  </sheetPr>
  <dimension ref="A1:C55"/>
  <sheetViews>
    <sheetView showGridLines="0" topLeftCell="A55" zoomScale="116" zoomScaleNormal="100" workbookViewId="0">
      <selection activeCell="C43" sqref="C43"/>
    </sheetView>
  </sheetViews>
  <sheetFormatPr defaultColWidth="8.7109375" defaultRowHeight="15" x14ac:dyDescent="0.25"/>
  <cols>
    <col min="1" max="1" width="38" customWidth="1"/>
    <col min="2" max="3" width="16" customWidth="1"/>
  </cols>
  <sheetData>
    <row r="1" spans="1:3" ht="17.25" customHeight="1" x14ac:dyDescent="0.25">
      <c r="A1" s="50" t="s">
        <v>0</v>
      </c>
      <c r="B1" s="50"/>
      <c r="C1" s="50"/>
    </row>
    <row r="2" spans="1:3" ht="15" customHeight="1" x14ac:dyDescent="0.25">
      <c r="A2" s="51" t="s">
        <v>120</v>
      </c>
      <c r="B2" s="51"/>
      <c r="C2" s="51"/>
    </row>
    <row r="3" spans="1:3" ht="15" customHeight="1" x14ac:dyDescent="0.25">
      <c r="A3" s="52" t="s">
        <v>2</v>
      </c>
      <c r="B3" s="52"/>
      <c r="C3" s="52"/>
    </row>
    <row r="5" spans="1:3" ht="15" customHeight="1" x14ac:dyDescent="0.25">
      <c r="A5" s="42" t="s">
        <v>130</v>
      </c>
      <c r="B5" s="58"/>
      <c r="C5" s="58"/>
    </row>
    <row r="6" spans="1:3" ht="15" customHeight="1" x14ac:dyDescent="0.25">
      <c r="A6" s="43" t="s">
        <v>72</v>
      </c>
      <c r="B6" s="10"/>
      <c r="C6" s="27">
        <f>Worksheet!G14</f>
        <v>7600</v>
      </c>
    </row>
    <row r="8" spans="1:3" ht="15" customHeight="1" x14ac:dyDescent="0.25">
      <c r="A8" s="42" t="s">
        <v>131</v>
      </c>
      <c r="B8" s="58"/>
      <c r="C8" s="58"/>
    </row>
    <row r="9" spans="1:3" ht="15" customHeight="1" x14ac:dyDescent="0.25">
      <c r="A9" s="3" t="s">
        <v>132</v>
      </c>
      <c r="B9" s="33">
        <f>Worksheet!F16</f>
        <v>2530</v>
      </c>
      <c r="C9" s="6"/>
    </row>
    <row r="10" spans="1:3" ht="15" customHeight="1" x14ac:dyDescent="0.25">
      <c r="A10" s="16" t="s">
        <v>133</v>
      </c>
      <c r="B10" s="33">
        <f>Worksheet!F20</f>
        <v>1420</v>
      </c>
      <c r="C10" s="10"/>
    </row>
    <row r="11" spans="1:3" ht="15" customHeight="1" x14ac:dyDescent="0.25">
      <c r="A11" s="3" t="s">
        <v>134</v>
      </c>
      <c r="B11" s="33">
        <f>Worksheet!F15</f>
        <v>400</v>
      </c>
      <c r="C11" s="6"/>
    </row>
    <row r="12" spans="1:3" ht="15" customHeight="1" x14ac:dyDescent="0.25">
      <c r="A12" s="16" t="s">
        <v>135</v>
      </c>
      <c r="B12" s="33">
        <f>Worksheet!F17</f>
        <v>200</v>
      </c>
      <c r="C12" s="10"/>
    </row>
    <row r="13" spans="1:3" ht="15" customHeight="1" x14ac:dyDescent="0.25">
      <c r="A13" s="3" t="s">
        <v>136</v>
      </c>
      <c r="B13" s="33">
        <f>Worksheet!F19</f>
        <v>150</v>
      </c>
      <c r="C13" s="6"/>
    </row>
    <row r="14" spans="1:3" ht="15" customHeight="1" x14ac:dyDescent="0.25">
      <c r="A14" s="44" t="s">
        <v>137</v>
      </c>
      <c r="B14" s="40"/>
      <c r="C14" s="27">
        <f>B9+B10+B11+B12+B13</f>
        <v>4700</v>
      </c>
    </row>
    <row r="15" spans="1:3" ht="15" customHeight="1" x14ac:dyDescent="0.25">
      <c r="A15" s="45" t="s">
        <v>128</v>
      </c>
      <c r="B15" s="40"/>
      <c r="C15" s="46">
        <f>C6-C14</f>
        <v>2900</v>
      </c>
    </row>
    <row r="18" spans="1:3" ht="17.25" customHeight="1" x14ac:dyDescent="0.25">
      <c r="A18" s="50" t="s">
        <v>0</v>
      </c>
      <c r="B18" s="50"/>
      <c r="C18" s="50"/>
    </row>
    <row r="19" spans="1:3" ht="15" customHeight="1" x14ac:dyDescent="0.25">
      <c r="A19" s="51" t="s">
        <v>138</v>
      </c>
      <c r="B19" s="51"/>
      <c r="C19" s="51"/>
    </row>
    <row r="20" spans="1:3" ht="15" customHeight="1" x14ac:dyDescent="0.25">
      <c r="A20" s="52" t="s">
        <v>2</v>
      </c>
      <c r="B20" s="52"/>
      <c r="C20" s="52"/>
    </row>
    <row r="22" spans="1:3" ht="15" customHeight="1" x14ac:dyDescent="0.25">
      <c r="A22" s="16" t="s">
        <v>139</v>
      </c>
      <c r="B22" s="10"/>
      <c r="C22" s="27">
        <v>0</v>
      </c>
    </row>
    <row r="23" spans="1:3" ht="15" customHeight="1" x14ac:dyDescent="0.25">
      <c r="A23" s="3" t="s">
        <v>140</v>
      </c>
      <c r="B23" s="47">
        <f>'Financial Statements'!C15</f>
        <v>2900</v>
      </c>
      <c r="C23" s="6"/>
    </row>
    <row r="24" spans="1:3" ht="15" customHeight="1" x14ac:dyDescent="0.25">
      <c r="A24" s="16" t="s">
        <v>141</v>
      </c>
      <c r="B24" s="33">
        <f>Worksheet!F13</f>
        <v>500</v>
      </c>
      <c r="C24" s="10"/>
    </row>
    <row r="25" spans="1:3" ht="15" customHeight="1" x14ac:dyDescent="0.25">
      <c r="A25" s="45" t="s">
        <v>142</v>
      </c>
      <c r="B25" s="40"/>
      <c r="C25" s="23">
        <f>0+B23-B24</f>
        <v>2400</v>
      </c>
    </row>
    <row r="28" spans="1:3" ht="17.25" customHeight="1" x14ac:dyDescent="0.25">
      <c r="A28" s="50" t="s">
        <v>0</v>
      </c>
      <c r="B28" s="50"/>
      <c r="C28" s="50"/>
    </row>
    <row r="29" spans="1:3" ht="15" customHeight="1" x14ac:dyDescent="0.25">
      <c r="A29" s="51" t="s">
        <v>143</v>
      </c>
      <c r="B29" s="51"/>
      <c r="C29" s="51"/>
    </row>
    <row r="30" spans="1:3" ht="15" customHeight="1" x14ac:dyDescent="0.25">
      <c r="A30" s="52" t="s">
        <v>53</v>
      </c>
      <c r="B30" s="52"/>
      <c r="C30" s="52"/>
    </row>
    <row r="32" spans="1:3" ht="15" customHeight="1" x14ac:dyDescent="0.25">
      <c r="A32" s="42" t="s">
        <v>144</v>
      </c>
      <c r="B32" s="58"/>
      <c r="C32" s="58"/>
    </row>
    <row r="33" spans="1:3" ht="15" customHeight="1" x14ac:dyDescent="0.25">
      <c r="A33" s="48" t="s">
        <v>145</v>
      </c>
      <c r="B33" s="57"/>
      <c r="C33" s="57"/>
    </row>
    <row r="34" spans="1:3" ht="15" customHeight="1" x14ac:dyDescent="0.25">
      <c r="A34" s="16" t="s">
        <v>146</v>
      </c>
      <c r="B34" s="33">
        <f>Worksheet!F10</f>
        <v>10000</v>
      </c>
      <c r="C34" s="10"/>
    </row>
    <row r="35" spans="1:3" ht="15" customHeight="1" x14ac:dyDescent="0.25">
      <c r="A35" s="3" t="s">
        <v>147</v>
      </c>
      <c r="B35" s="33">
        <f>Worksheet!G18</f>
        <v>200</v>
      </c>
      <c r="C35" s="6"/>
    </row>
    <row r="36" spans="1:3" ht="15" customHeight="1" x14ac:dyDescent="0.25">
      <c r="A36" s="43" t="s">
        <v>148</v>
      </c>
      <c r="B36" s="10"/>
      <c r="C36" s="27">
        <f>B34-B35</f>
        <v>9800</v>
      </c>
    </row>
    <row r="37" spans="1:3" ht="15" customHeight="1" x14ac:dyDescent="0.25">
      <c r="A37" s="48" t="s">
        <v>149</v>
      </c>
      <c r="B37" s="57"/>
      <c r="C37" s="57"/>
    </row>
    <row r="38" spans="1:3" ht="15" customHeight="1" x14ac:dyDescent="0.25">
      <c r="A38" s="16" t="s">
        <v>150</v>
      </c>
      <c r="B38" s="33">
        <f>Worksheet!F9</f>
        <v>1650</v>
      </c>
      <c r="C38" s="10"/>
    </row>
    <row r="39" spans="1:3" ht="15" customHeight="1" x14ac:dyDescent="0.25">
      <c r="A39" s="3" t="s">
        <v>151</v>
      </c>
      <c r="B39" s="33">
        <f>Worksheet!F8</f>
        <v>280</v>
      </c>
      <c r="C39" s="6"/>
    </row>
    <row r="40" spans="1:3" ht="15" customHeight="1" x14ac:dyDescent="0.25">
      <c r="A40" s="16" t="s">
        <v>152</v>
      </c>
      <c r="B40" s="33">
        <f>Worksheet!F7</f>
        <v>5200</v>
      </c>
      <c r="C40" s="10"/>
    </row>
    <row r="41" spans="1:3" ht="15" customHeight="1" x14ac:dyDescent="0.25">
      <c r="A41" s="3" t="s">
        <v>153</v>
      </c>
      <c r="B41" s="33">
        <f>Worksheet!F6</f>
        <v>8400</v>
      </c>
      <c r="C41" s="6"/>
    </row>
    <row r="42" spans="1:3" ht="15" customHeight="1" x14ac:dyDescent="0.25">
      <c r="A42" s="44" t="s">
        <v>154</v>
      </c>
      <c r="B42" s="40"/>
      <c r="C42" s="27">
        <f>B38+B39+B40+B41</f>
        <v>15530</v>
      </c>
    </row>
    <row r="43" spans="1:3" ht="15" customHeight="1" x14ac:dyDescent="0.25">
      <c r="A43" s="45" t="s">
        <v>155</v>
      </c>
      <c r="B43" s="40"/>
      <c r="C43" s="46">
        <f>C36+C42</f>
        <v>25330</v>
      </c>
    </row>
    <row r="46" spans="1:3" ht="15" customHeight="1" x14ac:dyDescent="0.25">
      <c r="A46" s="42" t="s">
        <v>156</v>
      </c>
      <c r="B46" s="58"/>
      <c r="C46" s="58"/>
    </row>
    <row r="47" spans="1:3" ht="15" customHeight="1" x14ac:dyDescent="0.25">
      <c r="A47" s="48" t="s">
        <v>157</v>
      </c>
      <c r="B47" s="57"/>
      <c r="C47" s="57"/>
    </row>
    <row r="48" spans="1:3" ht="15" customHeight="1" x14ac:dyDescent="0.25">
      <c r="A48" s="16" t="s">
        <v>158</v>
      </c>
      <c r="B48" s="33">
        <f>Worksheet!G12</f>
        <v>15000</v>
      </c>
      <c r="C48" s="10"/>
    </row>
    <row r="49" spans="1:3" ht="15" customHeight="1" x14ac:dyDescent="0.25">
      <c r="A49" s="3" t="s">
        <v>159</v>
      </c>
      <c r="B49" s="47">
        <f>'Financial Statements'!C25</f>
        <v>2400</v>
      </c>
      <c r="C49" s="6"/>
    </row>
    <row r="50" spans="1:3" ht="15" customHeight="1" x14ac:dyDescent="0.25">
      <c r="A50" s="44" t="s">
        <v>160</v>
      </c>
      <c r="B50" s="40"/>
      <c r="C50" s="23">
        <f>B48+B49</f>
        <v>17400</v>
      </c>
    </row>
    <row r="51" spans="1:3" ht="15" customHeight="1" x14ac:dyDescent="0.25">
      <c r="A51" s="48" t="s">
        <v>161</v>
      </c>
      <c r="B51" s="57"/>
      <c r="C51" s="57"/>
    </row>
    <row r="52" spans="1:3" ht="15" customHeight="1" x14ac:dyDescent="0.25">
      <c r="A52" s="16" t="s">
        <v>162</v>
      </c>
      <c r="B52" s="33">
        <f>Worksheet!G11</f>
        <v>7300</v>
      </c>
      <c r="C52" s="10"/>
    </row>
    <row r="53" spans="1:3" ht="15" customHeight="1" x14ac:dyDescent="0.25">
      <c r="A53" s="3" t="s">
        <v>163</v>
      </c>
      <c r="B53" s="33">
        <f>Worksheet!G21</f>
        <v>630</v>
      </c>
      <c r="C53" s="6"/>
    </row>
    <row r="54" spans="1:3" ht="15" customHeight="1" x14ac:dyDescent="0.25">
      <c r="A54" s="44" t="s">
        <v>164</v>
      </c>
      <c r="B54" s="40"/>
      <c r="C54" s="27">
        <f>B52+B53</f>
        <v>7930</v>
      </c>
    </row>
    <row r="55" spans="1:3" ht="15" customHeight="1" x14ac:dyDescent="0.25">
      <c r="A55" s="45" t="s">
        <v>165</v>
      </c>
      <c r="B55" s="40"/>
      <c r="C55" s="23">
        <f>C50+C54</f>
        <v>25330</v>
      </c>
    </row>
  </sheetData>
  <mergeCells count="17">
    <mergeCell ref="A1:C1"/>
    <mergeCell ref="A2:C2"/>
    <mergeCell ref="A3:C3"/>
    <mergeCell ref="B5:C5"/>
    <mergeCell ref="B8:C8"/>
    <mergeCell ref="A18:C18"/>
    <mergeCell ref="A19:C19"/>
    <mergeCell ref="A20:C20"/>
    <mergeCell ref="A28:C28"/>
    <mergeCell ref="A29:C29"/>
    <mergeCell ref="B47:C47"/>
    <mergeCell ref="B51:C51"/>
    <mergeCell ref="A30:C30"/>
    <mergeCell ref="B32:C32"/>
    <mergeCell ref="B33:C33"/>
    <mergeCell ref="B37:C37"/>
    <mergeCell ref="B46:C46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D17"/>
  <sheetViews>
    <sheetView showGridLines="0" zoomScaleNormal="100" workbookViewId="0">
      <selection activeCell="A17" sqref="A17:C17"/>
    </sheetView>
  </sheetViews>
  <sheetFormatPr defaultColWidth="8.7109375" defaultRowHeight="15" x14ac:dyDescent="0.25"/>
  <cols>
    <col min="1" max="1" width="38" customWidth="1"/>
    <col min="2" max="3" width="16" customWidth="1"/>
  </cols>
  <sheetData>
    <row r="1" spans="1:4" ht="17.25" customHeight="1" x14ac:dyDescent="0.25">
      <c r="A1" s="50" t="s">
        <v>0</v>
      </c>
      <c r="B1" s="50"/>
      <c r="C1" s="50"/>
    </row>
    <row r="2" spans="1:4" ht="15" customHeight="1" x14ac:dyDescent="0.25">
      <c r="A2" s="51" t="s">
        <v>166</v>
      </c>
      <c r="B2" s="51"/>
      <c r="C2" s="51"/>
    </row>
    <row r="3" spans="1:4" ht="15" customHeight="1" x14ac:dyDescent="0.25">
      <c r="A3" s="52" t="s">
        <v>53</v>
      </c>
      <c r="B3" s="52"/>
      <c r="C3" s="52"/>
    </row>
    <row r="4" spans="1:4" ht="15" customHeight="1" x14ac:dyDescent="0.25">
      <c r="A4" s="1" t="s">
        <v>167</v>
      </c>
      <c r="B4" s="1" t="s">
        <v>6</v>
      </c>
      <c r="C4" s="1" t="s">
        <v>7</v>
      </c>
    </row>
    <row r="5" spans="1:4" ht="15" customHeight="1" x14ac:dyDescent="0.25">
      <c r="A5" s="16" t="s">
        <v>9</v>
      </c>
      <c r="B5" s="33">
        <f>Ledger!F15</f>
        <v>8400</v>
      </c>
      <c r="C5" s="10"/>
    </row>
    <row r="6" spans="1:4" ht="15" customHeight="1" x14ac:dyDescent="0.25">
      <c r="A6" s="3" t="s">
        <v>29</v>
      </c>
      <c r="B6" s="33">
        <f>Ledger!F23</f>
        <v>5200</v>
      </c>
      <c r="C6" s="6"/>
    </row>
    <row r="7" spans="1:4" ht="15" customHeight="1" x14ac:dyDescent="0.25">
      <c r="A7" s="16" t="s">
        <v>21</v>
      </c>
      <c r="B7" s="33">
        <f>Ledger!F29</f>
        <v>280</v>
      </c>
      <c r="C7" s="10"/>
    </row>
    <row r="8" spans="1:4" ht="15" customHeight="1" x14ac:dyDescent="0.25">
      <c r="A8" s="3" t="s">
        <v>25</v>
      </c>
      <c r="B8" s="33">
        <f>Ledger!F35</f>
        <v>1650</v>
      </c>
      <c r="C8" s="6"/>
    </row>
    <row r="9" spans="1:4" ht="15" customHeight="1" x14ac:dyDescent="0.25">
      <c r="A9" s="16" t="s">
        <v>14</v>
      </c>
      <c r="B9" s="33">
        <f>Ledger!F40</f>
        <v>10000</v>
      </c>
      <c r="C9" s="10"/>
    </row>
    <row r="10" spans="1:4" ht="15" customHeight="1" x14ac:dyDescent="0.25">
      <c r="A10" s="3" t="s">
        <v>125</v>
      </c>
      <c r="B10" s="6"/>
      <c r="C10" s="27">
        <v>200</v>
      </c>
      <c r="D10" s="49"/>
    </row>
    <row r="11" spans="1:4" ht="15" customHeight="1" x14ac:dyDescent="0.25">
      <c r="A11" s="16" t="s">
        <v>35</v>
      </c>
      <c r="B11" s="10"/>
      <c r="C11" s="27">
        <v>7300</v>
      </c>
      <c r="D11" s="49"/>
    </row>
    <row r="12" spans="1:4" ht="15" customHeight="1" x14ac:dyDescent="0.25">
      <c r="A12" s="3" t="s">
        <v>126</v>
      </c>
      <c r="B12" s="6"/>
      <c r="C12" s="27">
        <v>630</v>
      </c>
      <c r="D12" s="49"/>
    </row>
    <row r="13" spans="1:4" ht="15" customHeight="1" x14ac:dyDescent="0.25">
      <c r="A13" s="16" t="s">
        <v>123</v>
      </c>
      <c r="B13" s="10"/>
      <c r="C13" s="27">
        <v>15000</v>
      </c>
      <c r="D13" s="49"/>
    </row>
    <row r="14" spans="1:4" ht="15" customHeight="1" x14ac:dyDescent="0.25">
      <c r="A14" s="3" t="s">
        <v>86</v>
      </c>
      <c r="B14" s="6"/>
      <c r="C14" s="27">
        <v>2400</v>
      </c>
      <c r="D14" s="49"/>
    </row>
    <row r="15" spans="1:4" ht="15" customHeight="1" x14ac:dyDescent="0.25">
      <c r="A15" s="29" t="s">
        <v>127</v>
      </c>
      <c r="B15" s="41">
        <f>SUM(B5:B14)</f>
        <v>25530</v>
      </c>
      <c r="C15" s="41">
        <v>25530</v>
      </c>
      <c r="D15" s="49"/>
    </row>
    <row r="17" spans="1:3" ht="15" customHeight="1" x14ac:dyDescent="0.25">
      <c r="A17" s="53" t="str">
        <f>IF(B15=C15,"✓  Balanced!  Debits = Credits = "&amp;TEXT(B15,"£#,##0"),"✗  NOT Balanced!")</f>
        <v>✓  Balanced!  Debits = Credits = £25,530</v>
      </c>
      <c r="B17" s="53"/>
      <c r="C17" s="53"/>
    </row>
  </sheetData>
  <mergeCells count="4">
    <mergeCell ref="A1:C1"/>
    <mergeCell ref="A2:C2"/>
    <mergeCell ref="A3:C3"/>
    <mergeCell ref="A17:C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CS</vt:lpstr>
      <vt:lpstr>J1</vt:lpstr>
      <vt:lpstr>J2</vt:lpstr>
      <vt:lpstr>J3</vt:lpstr>
      <vt:lpstr>Ledger</vt:lpstr>
      <vt:lpstr>Worksheet</vt:lpstr>
      <vt:lpstr>Financial Statements</vt:lpstr>
      <vt:lpstr>Post-Closing 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Ahmed Mohamed Mohalhal Ahmed</cp:lastModifiedBy>
  <cp:revision>0</cp:revision>
  <dcterms:created xsi:type="dcterms:W3CDTF">2026-04-22T18:27:54Z</dcterms:created>
  <dcterms:modified xsi:type="dcterms:W3CDTF">2026-04-22T19:45:16Z</dcterms:modified>
  <dc:language>en-US</dc:language>
</cp:coreProperties>
</file>