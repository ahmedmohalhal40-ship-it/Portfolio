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836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Comparative" sheetId="3" state="visible" r:id="rId3"/>
    <sheet xmlns:r="http://schemas.openxmlformats.org/officeDocument/2006/relationships" name="CommonSize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ESG" sheetId="7" state="visible" r:id="rId7"/>
    <sheet xmlns:r="http://schemas.openxmlformats.org/officeDocument/2006/relationships" name="Assumption G %" sheetId="8" state="visible" r:id="rId8"/>
    <sheet xmlns:r="http://schemas.openxmlformats.org/officeDocument/2006/relationships" name="Video_Links" sheetId="9" state="visible" r:id="rId9"/>
  </sheets>
  <externalReferences>
    <externalReference xmlns:r="http://schemas.openxmlformats.org/officeDocument/2006/relationships" r:id="rId10"/>
  </externalReferences>
  <definedNames>
    <definedName name="Acq_End">[1]Inputs!$E$12</definedName>
    <definedName name="Acq_Start">[1]Inputs!$E$10</definedName>
    <definedName name="Days_Yr">[1]Names!$F$11</definedName>
    <definedName name="Million">[1]Names!$F$17</definedName>
    <definedName name="Model_Start">[1]Inputs!$E$7</definedName>
    <definedName name="Months_Qtr">[1]Names!$F$14</definedName>
    <definedName name="Months_Yr">[1]Names!$F$12</definedName>
    <definedName name="Name_Model">[1]Names!$F$8</definedName>
    <definedName name="Ops_End">[1]Inputs!$E$17</definedName>
    <definedName name="Ops_Start">[1]Inputs!$E$15</definedName>
    <definedName name="Qtrs_Yr">[1]Names!$F$13</definedName>
    <definedName name="_xlnm.Print_Titles" localSheetId="1">'Financials'!$1:$3</definedName>
    <definedName name="_xlnm.Print_Area" localSheetId="1">'Financials'!$A$4:$I$295</definedName>
    <definedName name="_xlnm.Print_Titles" localSheetId="2">'Comparative'!$1:$3</definedName>
    <definedName name="_xlnm.Print_Area" localSheetId="2">'Comparative'!$A$4:$H$146</definedName>
    <definedName name="_xlnm.Print_Titles" localSheetId="3">'CommonSize'!$1:$3</definedName>
    <definedName name="_xlnm.Print_Area" localSheetId="3">'CommonSize'!$A$4:$H$139</definedName>
    <definedName name="_xlnm.Print_Titles" localSheetId="4">'Ratios'!$1:$3</definedName>
    <definedName name="_xlnm.Print_Area" localSheetId="4">'Ratios'!$A$4:$H$180</definedName>
    <definedName name="_xlnm.Print_Titles" localSheetId="5">'Valuation'!$1:$3</definedName>
    <definedName name="_xlnm.Print_Area" localSheetId="5">'Valuation'!$A$4:$I$285</definedName>
    <definedName name="_xlnm.Print_Titles" localSheetId="6">'ESG'!$1:$3</definedName>
    <definedName name="_xlnm.Print_Area" localSheetId="6">'ESG'!$A$4:$H$180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&quot;$&quot;#,##0.00_);\(&quot;$&quot;#,##0.00\)"/>
    <numFmt numFmtId="166" formatCode="&quot;$&quot;#,##0.00_);[Red]\(&quot;$&quot;#,##0.00\)"/>
    <numFmt numFmtId="167" formatCode="&quot;$&quot;#,##0_);\(&quot;$&quot;#,##0\)"/>
    <numFmt numFmtId="168" formatCode="&quot;$&quot;#,##0.00"/>
    <numFmt numFmtId="169" formatCode="[$SAR]\ #,##0.00_);[Red]\([$SAR]\ #,##0.00\)"/>
    <numFmt numFmtId="170" formatCode="dd/mmm/yyyy"/>
    <numFmt numFmtId="171" formatCode="0.0"/>
  </numFmts>
  <fonts count="3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0432FF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rgb="FFFF0000"/>
      <sz val="12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u val="single"/>
      <scheme val="minor"/>
    </font>
    <font>
      <name val="Arial"/>
      <family val="2"/>
      <b val="1"/>
      <sz val="12"/>
    </font>
    <font>
      <name val="Calibri"/>
      <family val="2"/>
      <b val="1"/>
      <color rgb="FFFF0000"/>
      <sz val="12"/>
      <scheme val="minor"/>
    </font>
    <font>
      <name val="Arial"/>
      <family val="2"/>
      <sz val="10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Arial"/>
      <family val="2"/>
      <i val="1"/>
      <color theme="0" tint="-0.3499862666707358"/>
      <sz val="10"/>
    </font>
    <font>
      <name val="Calibri"/>
      <family val="2"/>
      <color theme="1"/>
      <sz val="13"/>
      <scheme val="minor"/>
    </font>
    <font>
      <name val="Times New Roman"/>
      <family val="1"/>
      <color theme="1"/>
      <sz val="13"/>
    </font>
    <font>
      <name val="Arial"/>
      <family val="2"/>
      <i val="1"/>
      <color theme="0" tint="-0.3499862666707358"/>
      <sz val="9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rgb="FF00133A"/>
      <sz val="12"/>
      <scheme val="minor"/>
    </font>
    <font>
      <name val="Times New Roman"/>
      <family val="1"/>
      <color theme="1" tint="0.499984740745262"/>
      <sz val="10"/>
    </font>
    <font>
      <name val="Calibri"/>
      <family val="2"/>
      <color theme="1" tint="0.499984740745262"/>
      <sz val="10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color indexed="17"/>
      <sz val="16"/>
    </font>
    <font>
      <name val="Arial"/>
      <family val="2"/>
      <b val="1"/>
      <sz val="10"/>
      <u val="single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color rgb="FF00133A"/>
      <sz val="20"/>
    </font>
    <font>
      <name val="Arial"/>
      <family val="2"/>
      <color theme="1"/>
      <sz val="12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0"/>
      <sz val="12"/>
    </font>
    <font>
      <name val="Arial"/>
      <family val="2"/>
      <color theme="1"/>
      <sz val="16"/>
    </font>
    <font>
      <name val="Arial"/>
      <family val="2"/>
      <b val="1"/>
      <color rgb="FF002060"/>
      <sz val="16"/>
    </font>
  </fonts>
  <fills count="1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1DFF8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medium">
        <color indexed="64"/>
      </bottom>
      <diagonal/>
    </border>
    <border>
      <left style="thin">
        <color indexed="61"/>
      </left>
      <right/>
      <top/>
      <bottom/>
      <diagonal/>
    </border>
    <border>
      <left style="thin">
        <color indexed="61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2" fillId="0" borderId="0"/>
    <xf numFmtId="9" fontId="2" fillId="0" borderId="0"/>
    <xf numFmtId="0" fontId="7" fillId="0" borderId="0"/>
    <xf numFmtId="0" fontId="10" fillId="0" borderId="0"/>
    <xf numFmtId="0" fontId="1" fillId="0" borderId="0"/>
    <xf numFmtId="0" fontId="11" fillId="3" borderId="3"/>
    <xf numFmtId="0" fontId="12" fillId="4" borderId="4"/>
    <xf numFmtId="0" fontId="13" fillId="0" borderId="0"/>
    <xf numFmtId="0" fontId="10" fillId="0" borderId="0"/>
    <xf numFmtId="9" fontId="10" fillId="0" borderId="0"/>
    <xf numFmtId="44" fontId="10" fillId="0" borderId="0"/>
  </cellStyleXfs>
  <cellXfs count="15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9" fontId="0" fillId="0" borderId="0" pivotButton="0" quotePrefix="0" xfId="1"/>
    <xf numFmtId="9" fontId="0" fillId="2" borderId="0" pivotButton="0" quotePrefix="0" xfId="1"/>
    <xf numFmtId="9" fontId="0" fillId="0" borderId="0" pivotButton="0" quotePrefix="0" xfId="1"/>
    <xf numFmtId="9" fontId="0" fillId="2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3" fontId="3" fillId="0" borderId="0" pivotButton="0" quotePrefix="0" xfId="0"/>
    <xf numFmtId="9" fontId="3" fillId="0" borderId="0" pivotButton="0" quotePrefix="0" xfId="1"/>
    <xf numFmtId="9" fontId="3" fillId="2" borderId="0" pivotButton="0" quotePrefix="0" xfId="1"/>
    <xf numFmtId="10" fontId="3" fillId="0" borderId="0" pivotButton="0" quotePrefix="0" xfId="1"/>
    <xf numFmtId="164" fontId="3" fillId="2" borderId="0" pivotButton="0" quotePrefix="0" xfId="1"/>
    <xf numFmtId="0" fontId="0" fillId="2" borderId="0" applyAlignment="1" pivotButton="0" quotePrefix="0" xfId="0">
      <alignment horizontal="right"/>
    </xf>
    <xf numFmtId="0" fontId="0" fillId="6" borderId="0" pivotButton="0" quotePrefix="0" xfId="0"/>
    <xf numFmtId="0" fontId="14" fillId="6" borderId="0" applyAlignment="1" pivotButton="0" quotePrefix="1" xfId="0">
      <alignment horizontal="right"/>
    </xf>
    <xf numFmtId="0" fontId="14" fillId="6" borderId="0" applyAlignment="1" pivotButton="0" quotePrefix="0" xfId="0">
      <alignment horizontal="right"/>
    </xf>
    <xf numFmtId="0" fontId="15" fillId="6" borderId="0" pivotButton="0" quotePrefix="0" xfId="0"/>
    <xf numFmtId="0" fontId="16" fillId="0" borderId="0" pivotButton="0" quotePrefix="0" xfId="7"/>
    <xf numFmtId="0" fontId="20" fillId="6" borderId="0" applyAlignment="1" pivotButton="0" quotePrefix="0" xfId="0">
      <alignment horizontal="left"/>
    </xf>
    <xf numFmtId="0" fontId="4" fillId="6" borderId="0" pivotButton="0" quotePrefix="0" xfId="0"/>
    <xf numFmtId="0" fontId="2" fillId="6" borderId="0" applyAlignment="1" pivotButton="0" quotePrefix="0" xfId="5">
      <alignment horizontal="center"/>
    </xf>
    <xf numFmtId="0" fontId="21" fillId="6" borderId="0" pivotButton="0" quotePrefix="0" xfId="0"/>
    <xf numFmtId="0" fontId="10" fillId="0" borderId="0" pivotButton="0" quotePrefix="0" xfId="8"/>
    <xf numFmtId="0" fontId="23" fillId="0" borderId="0" applyAlignment="1" pivotButton="0" quotePrefix="0" xfId="8">
      <alignment vertical="center"/>
    </xf>
    <xf numFmtId="0" fontId="8" fillId="0" borderId="0" pivotButton="0" quotePrefix="0" xfId="8"/>
    <xf numFmtId="0" fontId="10" fillId="0" borderId="0" applyAlignment="1" pivotButton="0" quotePrefix="0" xfId="8">
      <alignment horizontal="center"/>
    </xf>
    <xf numFmtId="0" fontId="8" fillId="0" borderId="1" pivotButton="0" quotePrefix="0" xfId="8"/>
    <xf numFmtId="0" fontId="8" fillId="12" borderId="0" pivotButton="0" quotePrefix="0" xfId="8"/>
    <xf numFmtId="165" fontId="0" fillId="11" borderId="14" pivotButton="0" quotePrefix="0" xfId="10"/>
    <xf numFmtId="165" fontId="0" fillId="0" borderId="0" pivotButton="0" quotePrefix="0" xfId="10"/>
    <xf numFmtId="0" fontId="10" fillId="0" borderId="2" pivotButton="0" quotePrefix="0" xfId="8"/>
    <xf numFmtId="165" fontId="0" fillId="11" borderId="15" pivotButton="0" quotePrefix="0" xfId="10"/>
    <xf numFmtId="165" fontId="0" fillId="0" borderId="2" pivotButton="0" quotePrefix="0" xfId="10"/>
    <xf numFmtId="164" fontId="10" fillId="0" borderId="0" pivotButton="0" quotePrefix="0" xfId="8"/>
    <xf numFmtId="165" fontId="0" fillId="0" borderId="0" pivotButton="0" quotePrefix="0" xfId="10"/>
    <xf numFmtId="9" fontId="0" fillId="0" borderId="0" pivotButton="0" quotePrefix="0" xfId="9"/>
    <xf numFmtId="165" fontId="10" fillId="0" borderId="0" pivotButton="0" quotePrefix="0" xfId="8"/>
    <xf numFmtId="165" fontId="0" fillId="0" borderId="2" pivotButton="0" quotePrefix="0" xfId="10"/>
    <xf numFmtId="164" fontId="10" fillId="0" borderId="0" pivotButton="0" quotePrefix="1" xfId="8"/>
    <xf numFmtId="165" fontId="0" fillId="0" borderId="0" pivotButton="0" quotePrefix="0" xfId="9"/>
    <xf numFmtId="0" fontId="10" fillId="0" borderId="1" pivotButton="0" quotePrefix="0" xfId="8"/>
    <xf numFmtId="165" fontId="0" fillId="0" borderId="1" pivotButton="0" quotePrefix="0" xfId="10"/>
    <xf numFmtId="9" fontId="0" fillId="0" borderId="0" applyAlignment="1" pivotButton="0" quotePrefix="0" xfId="9">
      <alignment horizontal="center"/>
    </xf>
    <xf numFmtId="0" fontId="24" fillId="0" borderId="0" pivotButton="0" quotePrefix="0" xfId="8"/>
    <xf numFmtId="9" fontId="0" fillId="0" borderId="0" applyAlignment="1" pivotButton="0" quotePrefix="0" xfId="9">
      <alignment horizontal="center"/>
    </xf>
    <xf numFmtId="165" fontId="0" fillId="0" borderId="16" pivotButton="0" quotePrefix="0" xfId="10"/>
    <xf numFmtId="9" fontId="0" fillId="0" borderId="0" pivotButton="0" quotePrefix="0" xfId="9"/>
    <xf numFmtId="165" fontId="0" fillId="0" borderId="17" pivotButton="0" quotePrefix="0" xfId="10"/>
    <xf numFmtId="0" fontId="24" fillId="12" borderId="0" pivotButton="0" quotePrefix="0" xfId="8"/>
    <xf numFmtId="165" fontId="0" fillId="0" borderId="17" pivotButton="0" quotePrefix="0" xfId="10"/>
    <xf numFmtId="9" fontId="0" fillId="0" borderId="0" pivotButton="0" quotePrefix="0" xfId="9"/>
    <xf numFmtId="165" fontId="0" fillId="0" borderId="0" pivotButton="0" quotePrefix="0" xfId="9"/>
    <xf numFmtId="166" fontId="0" fillId="13" borderId="15" applyAlignment="1" pivotButton="0" quotePrefix="0" xfId="9">
      <alignment horizontal="right"/>
    </xf>
    <xf numFmtId="166" fontId="0" fillId="13" borderId="14" applyAlignment="1" pivotButton="0" quotePrefix="0" xfId="9">
      <alignment horizontal="right"/>
    </xf>
    <xf numFmtId="167" fontId="0" fillId="0" borderId="0" pivotButton="0" quotePrefix="0" xfId="10"/>
    <xf numFmtId="164" fontId="10" fillId="0" borderId="0" pivotButton="0" quotePrefix="0" xfId="9"/>
    <xf numFmtId="165" fontId="0" fillId="0" borderId="0" applyAlignment="1" pivotButton="0" quotePrefix="0" xfId="10">
      <alignment horizontal="center"/>
    </xf>
    <xf numFmtId="165" fontId="10" fillId="0" borderId="0" pivotButton="0" quotePrefix="0" xfId="10"/>
    <xf numFmtId="164" fontId="0" fillId="0" borderId="0" pivotButton="0" quotePrefix="0" xfId="9"/>
    <xf numFmtId="164" fontId="0" fillId="0" borderId="2" pivotButton="0" quotePrefix="0" xfId="9"/>
    <xf numFmtId="0" fontId="10" fillId="0" borderId="18" pivotButton="0" quotePrefix="0" xfId="8"/>
    <xf numFmtId="164" fontId="0" fillId="0" borderId="18" pivotButton="0" quotePrefix="0" xfId="9"/>
    <xf numFmtId="164" fontId="0" fillId="0" borderId="0" pivotButton="0" quotePrefix="0" xfId="9"/>
    <xf numFmtId="0" fontId="10" fillId="0" borderId="0" pivotButton="0" quotePrefix="1" xfId="8"/>
    <xf numFmtId="166" fontId="0" fillId="0" borderId="0" pivotButton="0" quotePrefix="0" xfId="10"/>
    <xf numFmtId="166" fontId="10" fillId="0" borderId="0" pivotButton="0" quotePrefix="0" xfId="8"/>
    <xf numFmtId="165" fontId="0" fillId="0" borderId="1" pivotButton="0" quotePrefix="0" xfId="10"/>
    <xf numFmtId="2" fontId="0" fillId="0" borderId="0" applyAlignment="1" pivotButton="0" quotePrefix="0" xfId="9">
      <alignment horizontal="right"/>
    </xf>
    <xf numFmtId="168" fontId="0" fillId="0" borderId="0" pivotButton="0" quotePrefix="0" xfId="10"/>
    <xf numFmtId="39" fontId="0" fillId="0" borderId="0" pivotButton="0" quotePrefix="0" xfId="10"/>
    <xf numFmtId="0" fontId="19" fillId="8" borderId="19" applyAlignment="1" pivotButton="0" quotePrefix="0" xfId="5">
      <alignment horizontal="center"/>
    </xf>
    <xf numFmtId="0" fontId="19" fillId="8" borderId="20" applyAlignment="1" pivotButton="0" quotePrefix="0" xfId="5">
      <alignment horizontal="center"/>
    </xf>
    <xf numFmtId="2" fontId="18" fillId="7" borderId="20" applyAlignment="1" pivotButton="0" quotePrefix="0" xfId="5">
      <alignment horizontal="center"/>
    </xf>
    <xf numFmtId="2" fontId="19" fillId="8" borderId="20" applyAlignment="1" pivotButton="0" quotePrefix="0" xfId="5">
      <alignment horizontal="center"/>
    </xf>
    <xf numFmtId="10" fontId="19" fillId="8" borderId="20" applyAlignment="1" pivotButton="0" quotePrefix="0" xfId="5">
      <alignment horizontal="center"/>
    </xf>
    <xf numFmtId="169" fontId="17" fillId="5" borderId="21" applyAlignment="1" pivotButton="0" quotePrefix="0" xfId="6">
      <alignment horizontal="center" vertical="center"/>
    </xf>
    <xf numFmtId="0" fontId="25" fillId="0" borderId="0" applyAlignment="1" pivotButton="0" quotePrefix="0" xfId="8">
      <alignment horizontal="center"/>
    </xf>
    <xf numFmtId="0" fontId="25" fillId="0" borderId="1" applyAlignment="1" pivotButton="0" quotePrefix="0" xfId="8">
      <alignment horizontal="center"/>
    </xf>
    <xf numFmtId="170" fontId="19" fillId="8" borderId="20" applyAlignment="1" pivotButton="0" quotePrefix="0" xfId="5">
      <alignment horizontal="center"/>
    </xf>
    <xf numFmtId="0" fontId="10" fillId="0" borderId="22" pivotButton="0" quotePrefix="0" xfId="8"/>
    <xf numFmtId="164" fontId="0" fillId="0" borderId="22" pivotButton="0" quotePrefix="0" xfId="9"/>
    <xf numFmtId="0" fontId="0" fillId="0" borderId="22" pivotButton="0" quotePrefix="0" xfId="0"/>
    <xf numFmtId="0" fontId="26" fillId="12" borderId="0" pivotButton="0" quotePrefix="0" xfId="8"/>
    <xf numFmtId="0" fontId="8" fillId="14" borderId="0" applyAlignment="1" pivotButton="0" quotePrefix="0" xfId="8">
      <alignment horizontal="left"/>
    </xf>
    <xf numFmtId="0" fontId="27" fillId="0" borderId="0" applyAlignment="1" pivotButton="0" quotePrefix="0" xfId="8">
      <alignment horizontal="left" vertical="center"/>
    </xf>
    <xf numFmtId="0" fontId="28" fillId="0" borderId="0" pivotButton="0" quotePrefix="0" xfId="0"/>
    <xf numFmtId="0" fontId="29" fillId="0" borderId="0" pivotButton="0" quotePrefix="0" xfId="0"/>
    <xf numFmtId="0" fontId="0" fillId="14" borderId="6" pivotButton="0" quotePrefix="0" xfId="0"/>
    <xf numFmtId="0" fontId="10" fillId="14" borderId="5" pivotButton="0" quotePrefix="0" xfId="8"/>
    <xf numFmtId="0" fontId="25" fillId="14" borderId="12" applyAlignment="1" pivotButton="0" quotePrefix="0" xfId="8">
      <alignment horizontal="left"/>
    </xf>
    <xf numFmtId="0" fontId="10" fillId="6" borderId="0" applyAlignment="1" pivotButton="0" quotePrefix="0" xfId="8">
      <alignment horizontal="center"/>
    </xf>
    <xf numFmtId="0" fontId="10" fillId="6" borderId="6" pivotButton="0" quotePrefix="0" xfId="8"/>
    <xf numFmtId="0" fontId="10" fillId="6" borderId="6" applyAlignment="1" pivotButton="0" quotePrefix="0" xfId="8">
      <alignment horizontal="center"/>
    </xf>
    <xf numFmtId="164" fontId="0" fillId="6" borderId="6" pivotButton="0" quotePrefix="0" xfId="9"/>
    <xf numFmtId="164" fontId="0" fillId="6" borderId="6" pivotButton="0" quotePrefix="0" xfId="10"/>
    <xf numFmtId="0" fontId="10" fillId="6" borderId="0" pivotButton="0" quotePrefix="0" xfId="8"/>
    <xf numFmtId="164" fontId="0" fillId="6" borderId="6" applyAlignment="1" pivotButton="0" quotePrefix="0" xfId="9">
      <alignment horizontal="right"/>
    </xf>
    <xf numFmtId="171" fontId="0" fillId="6" borderId="6" applyAlignment="1" pivotButton="0" quotePrefix="0" xfId="9">
      <alignment horizontal="right"/>
    </xf>
    <xf numFmtId="171" fontId="0" fillId="6" borderId="0" applyAlignment="1" pivotButton="0" quotePrefix="0" xfId="9">
      <alignment horizontal="right"/>
    </xf>
    <xf numFmtId="0" fontId="8" fillId="5" borderId="0" pivotButton="0" quotePrefix="0" xfId="8"/>
    <xf numFmtId="0" fontId="8" fillId="0" borderId="13" pivotButton="0" quotePrefix="0" xfId="8"/>
    <xf numFmtId="0" fontId="30" fillId="0" borderId="0" pivotButton="0" quotePrefix="0" xfId="0"/>
    <xf numFmtId="0" fontId="28" fillId="0" borderId="0" applyAlignment="1" pivotButton="0" quotePrefix="0" xfId="0">
      <alignment horizontal="center"/>
    </xf>
    <xf numFmtId="2" fontId="28" fillId="0" borderId="0" pivotButton="0" quotePrefix="0" xfId="0"/>
    <xf numFmtId="0" fontId="28" fillId="0" borderId="0" applyAlignment="1" pivotButton="0" quotePrefix="0" xfId="0">
      <alignment horizontal="left" indent="1"/>
    </xf>
    <xf numFmtId="0" fontId="28" fillId="0" borderId="22" applyAlignment="1" pivotButton="0" quotePrefix="0" xfId="0">
      <alignment horizontal="left" indent="1"/>
    </xf>
    <xf numFmtId="0" fontId="28" fillId="0" borderId="22" pivotButton="0" quotePrefix="0" xfId="0"/>
    <xf numFmtId="0" fontId="28" fillId="0" borderId="23" applyAlignment="1" pivotButton="0" quotePrefix="0" xfId="0">
      <alignment horizontal="left" indent="1"/>
    </xf>
    <xf numFmtId="0" fontId="28" fillId="0" borderId="23" pivotButton="0" quotePrefix="0" xfId="0"/>
    <xf numFmtId="0" fontId="30" fillId="5" borderId="0" pivotButton="0" quotePrefix="0" xfId="0"/>
    <xf numFmtId="0" fontId="28" fillId="0" borderId="0" applyAlignment="1" pivotButton="0" quotePrefix="0" xfId="0">
      <alignment horizontal="center" wrapText="1"/>
    </xf>
    <xf numFmtId="9" fontId="28" fillId="0" borderId="0" applyAlignment="1" pivotButton="0" quotePrefix="0" xfId="1">
      <alignment horizontal="center"/>
    </xf>
    <xf numFmtId="0" fontId="31" fillId="7" borderId="0" pivotButton="0" quotePrefix="0" xfId="0"/>
    <xf numFmtId="0" fontId="32" fillId="0" borderId="0" pivotButton="0" quotePrefix="0" xfId="0"/>
    <xf numFmtId="9" fontId="32" fillId="0" borderId="0" applyAlignment="1" pivotButton="0" quotePrefix="0" xfId="0">
      <alignment horizontal="center"/>
    </xf>
    <xf numFmtId="0" fontId="33" fillId="5" borderId="0" pivotButton="0" quotePrefix="0" xfId="0"/>
    <xf numFmtId="0" fontId="11" fillId="10" borderId="7" applyAlignment="1" pivotButton="0" quotePrefix="0" xfId="5">
      <alignment horizontal="center"/>
    </xf>
    <xf numFmtId="0" fontId="11" fillId="10" borderId="8" applyAlignment="1" pivotButton="0" quotePrefix="0" xfId="5">
      <alignment horizontal="center"/>
    </xf>
    <xf numFmtId="0" fontId="11" fillId="10" borderId="9" applyAlignment="1" pivotButton="0" quotePrefix="0" xfId="5">
      <alignment horizontal="center"/>
    </xf>
    <xf numFmtId="0" fontId="2" fillId="9" borderId="10" applyAlignment="1" pivotButton="0" quotePrefix="0" xfId="5">
      <alignment horizontal="center"/>
    </xf>
    <xf numFmtId="0" fontId="2" fillId="9" borderId="11" applyAlignment="1" pivotButton="0" quotePrefix="0" xfId="5">
      <alignment horizontal="center"/>
    </xf>
    <xf numFmtId="0" fontId="2" fillId="9" borderId="6" applyAlignment="1" pivotButton="0" quotePrefix="0" xfId="5">
      <alignment horizontal="center"/>
    </xf>
    <xf numFmtId="0" fontId="22" fillId="0" borderId="6" applyAlignment="1" pivotButton="0" quotePrefix="0" xfId="0">
      <alignment horizontal="center" vertical="center"/>
    </xf>
    <xf numFmtId="0" fontId="0" fillId="0" borderId="11" pivotButton="0" quotePrefix="0" xfId="0"/>
    <xf numFmtId="170" fontId="19" fillId="8" borderId="20" applyAlignment="1" pivotButton="0" quotePrefix="0" xfId="5">
      <alignment horizontal="center"/>
    </xf>
    <xf numFmtId="0" fontId="11" fillId="10" borderId="3" applyAlignment="1" pivotButton="0" quotePrefix="0" xfId="5">
      <alignment horizontal="center"/>
    </xf>
    <xf numFmtId="0" fontId="0" fillId="0" borderId="8" pivotButton="0" quotePrefix="0" xfId="0"/>
    <xf numFmtId="0" fontId="0" fillId="0" borderId="9" pivotButton="0" quotePrefix="0" xfId="0"/>
    <xf numFmtId="169" fontId="17" fillId="5" borderId="21" applyAlignment="1" pivotButton="0" quotePrefix="0" xfId="6">
      <alignment horizontal="center" vertical="center"/>
    </xf>
    <xf numFmtId="171" fontId="0" fillId="6" borderId="6" applyAlignment="1" pivotButton="0" quotePrefix="0" xfId="9">
      <alignment horizontal="right"/>
    </xf>
    <xf numFmtId="171" fontId="0" fillId="6" borderId="0" applyAlignment="1" pivotButton="0" quotePrefix="0" xfId="9">
      <alignment horizontal="right"/>
    </xf>
    <xf numFmtId="165" fontId="0" fillId="0" borderId="0" pivotButton="0" quotePrefix="0" xfId="10"/>
    <xf numFmtId="165" fontId="0" fillId="0" borderId="2" pivotButton="0" quotePrefix="0" xfId="10"/>
    <xf numFmtId="165" fontId="10" fillId="0" borderId="0" pivotButton="0" quotePrefix="0" xfId="8"/>
    <xf numFmtId="168" fontId="0" fillId="0" borderId="0" pivotButton="0" quotePrefix="0" xfId="10"/>
    <xf numFmtId="165" fontId="0" fillId="0" borderId="0" pivotButton="0" quotePrefix="0" xfId="9"/>
    <xf numFmtId="165" fontId="0" fillId="0" borderId="1" pivotButton="0" quotePrefix="0" xfId="10"/>
    <xf numFmtId="165" fontId="0" fillId="11" borderId="14" pivotButton="0" quotePrefix="0" xfId="10"/>
    <xf numFmtId="165" fontId="0" fillId="0" borderId="16" pivotButton="0" quotePrefix="0" xfId="10"/>
    <xf numFmtId="165" fontId="0" fillId="11" borderId="15" pivotButton="0" quotePrefix="0" xfId="10"/>
    <xf numFmtId="165" fontId="0" fillId="0" borderId="17" pivotButton="0" quotePrefix="0" xfId="10"/>
    <xf numFmtId="166" fontId="0" fillId="13" borderId="15" applyAlignment="1" pivotButton="0" quotePrefix="0" xfId="9">
      <alignment horizontal="right"/>
    </xf>
    <xf numFmtId="166" fontId="0" fillId="13" borderId="14" applyAlignment="1" pivotButton="0" quotePrefix="0" xfId="9">
      <alignment horizontal="right"/>
    </xf>
    <xf numFmtId="167" fontId="0" fillId="0" borderId="0" pivotButton="0" quotePrefix="0" xfId="10"/>
    <xf numFmtId="165" fontId="0" fillId="0" borderId="0" applyAlignment="1" pivotButton="0" quotePrefix="0" xfId="10">
      <alignment horizontal="center"/>
    </xf>
    <xf numFmtId="165" fontId="10" fillId="0" borderId="0" pivotButton="0" quotePrefix="0" xfId="10"/>
    <xf numFmtId="166" fontId="10" fillId="0" borderId="0" pivotButton="0" quotePrefix="0" xfId="8"/>
    <xf numFmtId="166" fontId="0" fillId="0" borderId="0" pivotButton="0" quotePrefix="0" xfId="10"/>
    <xf numFmtId="0" fontId="0" fillId="0" borderId="29" pivotButton="0" quotePrefix="0" xfId="0"/>
    <xf numFmtId="0" fontId="0" fillId="0" borderId="5" pivotButton="0" quotePrefix="0" xfId="0"/>
  </cellXfs>
  <cellStyles count="11">
    <cellStyle name="Normal" xfId="0" builtinId="0"/>
    <cellStyle name="Percent" xfId="1" builtinId="5"/>
    <cellStyle name="Hyperlink" xfId="2" builtinId="8"/>
    <cellStyle name="Normal 2" xfId="3"/>
    <cellStyle name="Normal 3" xfId="4"/>
    <cellStyle name="Input 2" xfId="5"/>
    <cellStyle name="Output 2" xfId="6"/>
    <cellStyle name="Unit" xfId="7"/>
    <cellStyle name="Normal 3 2" xfId="8"/>
    <cellStyle name="Percent 3 2" xfId="9"/>
    <cellStyle name="Currency 3 2" xfId="1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 xml:space="preserve">Today share price </a:t>
            </a:r>
            <a:r>
              <a:rPr lang="en-GB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 xml:space="preserve">vs Intrinsic  price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208409039"/>
        <axId val="208408079"/>
      </barChart>
      <catAx>
        <axId val="208409039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208408079"/>
        <crosses val="autoZero"/>
        <auto val="1"/>
        <lblAlgn val="ctr"/>
        <lblOffset val="100"/>
        <noMultiLvlLbl val="0"/>
      </catAx>
      <valAx>
        <axId val="20840807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840903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>
    <from>
      <col>6</col>
      <colOff>66675</colOff>
      <row>9</row>
      <rowOff>104775</rowOff>
    </from>
    <to>
      <col>9</col>
      <colOff>447674</colOff>
      <row>17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28576</colOff>
      <row>6</row>
      <rowOff>1</rowOff>
    </from>
    <to>
      <col>9</col>
      <colOff>207834</colOff>
      <row>7</row>
      <rowOff>9526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572501" y="1504951"/>
          <a:ext cx="179258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9</col>
      <colOff>38100</colOff>
      <row>5</row>
      <rowOff>19050</rowOff>
    </from>
    <to>
      <col>9</col>
      <colOff>217358</colOff>
      <row>5</row>
      <rowOff>247650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582025" y="1257300"/>
          <a:ext cx="179258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9</col>
      <colOff>38100</colOff>
      <row>4</row>
      <rowOff>0</rowOff>
    </from>
    <to>
      <col>9</col>
      <colOff>217358</colOff>
      <row>5</row>
      <rowOff>19050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582025" y="1028700"/>
          <a:ext cx="179258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733425</colOff>
      <row>8</row>
      <rowOff>9525</rowOff>
    </from>
    <to>
      <col>11</col>
      <colOff>387737</colOff>
      <row>16</row>
      <rowOff>31835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93825" y="3057525"/>
          <a:ext cx="7534662" cy="16479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F:\Users\aljoharah\Desktop\Al%20Muhaidib\03%20Training%20courses\Financial%20Modeling\Day1\Al%20Muhaidib%20In-house%20Financial%20Model%20Training%20Day%201%20END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Name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ljaziracapital.com.sa/media/3okaylhu/bindawood-investment-update-en.pdf" TargetMode="External" Id="rId1"/><Relationship Type="http://schemas.openxmlformats.org/officeDocument/2006/relationships/hyperlink" Target="https://www.aljaziracapital.com.sa/media/3okaylhu/bindawood-investment-update-en.pdf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www.youtube.com/watch?v=Gm0Xn_MidZ8&amp;t=585s" TargetMode="External" Id="rId1"/><Relationship Type="http://schemas.openxmlformats.org/officeDocument/2006/relationships/hyperlink" Target="https://www.youtube.com/watch?v=9oHbN90h_HU" TargetMode="External" Id="rId2"/><Relationship Type="http://schemas.openxmlformats.org/officeDocument/2006/relationships/hyperlink" Target="https://www.investing.com/equities/bindawood-holding-co" TargetMode="External" Id="rId3"/><Relationship Type="http://schemas.openxmlformats.org/officeDocument/2006/relationships/hyperlink" Target="https://www.tradingview.com/symbols/TADAWUL-4161/forecast/" TargetMode="External" Id="rId4"/><Relationship Type="http://schemas.openxmlformats.org/officeDocument/2006/relationships/hyperlink" Target="https://www.argaam.com/en/tadawul/tasi/bindawood" TargetMode="External" Id="rId5"/><Relationship Type="http://schemas.openxmlformats.org/officeDocument/2006/relationships/hyperlink" Target="https://www.aljaziracapital.com.sa/media/3okaylhu/bindawood-investment-update-en.pdf" TargetMode="External" Id="rId6"/><Relationship Type="http://schemas.openxmlformats.org/officeDocument/2006/relationships/drawing" Target="/xl/drawings/drawing2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zoomScaleNormal="100" workbookViewId="0">
      <selection activeCell="I1" sqref="I1"/>
    </sheetView>
  </sheetViews>
  <sheetFormatPr baseColWidth="8" defaultColWidth="0" defaultRowHeight="0" customHeight="1" zeroHeight="1"/>
  <cols>
    <col width="12.125" customWidth="1" style="19" min="1" max="2"/>
    <col width="4.5" customWidth="1" style="19" min="3" max="3"/>
    <col width="12.125" customWidth="1" style="19" min="4" max="5"/>
    <col width="13.125" customWidth="1" style="19" min="6" max="6"/>
    <col width="10.625" customWidth="1" style="19" min="7" max="7"/>
    <col width="12.125" customWidth="1" style="19" min="8" max="8"/>
    <col width="27.875" customWidth="1" style="19" min="9" max="9"/>
    <col width="12.125" customWidth="1" style="19" min="10" max="10"/>
    <col hidden="1" style="19" min="11" max="11"/>
    <col hidden="1" width="12.125" customWidth="1" style="19" min="12" max="16384"/>
  </cols>
  <sheetData>
    <row r="1" ht="16.5" customHeight="1" thickBot="1"/>
    <row r="2" ht="16.5" customHeight="1">
      <c r="B2" s="22" t="inlineStr">
        <is>
          <t xml:space="preserve">Section Number: </t>
        </is>
      </c>
      <c r="D2" s="127" t="n"/>
      <c r="E2" s="129" t="n"/>
      <c r="G2" s="22" t="inlineStr">
        <is>
          <t>Name of Company:</t>
        </is>
      </c>
      <c r="I2" s="76" t="inlineStr">
        <is>
          <t>BinDawood Holdings</t>
        </is>
      </c>
    </row>
    <row r="3" ht="16.5" customHeight="1">
      <c r="B3" s="22" t="inlineStr">
        <is>
          <t>Group Number:</t>
        </is>
      </c>
      <c r="D3" s="127" t="n"/>
      <c r="E3" s="129" t="n"/>
      <c r="G3" s="22" t="inlineStr">
        <is>
          <t>Company Ticker:</t>
        </is>
      </c>
      <c r="I3" s="77" t="inlineStr">
        <is>
          <t>4161 - SA</t>
        </is>
      </c>
    </row>
    <row r="4" ht="16.5" customHeight="1">
      <c r="B4" s="22" t="inlineStr">
        <is>
          <t>Instructor Name:</t>
        </is>
      </c>
      <c r="D4" s="127" t="n"/>
      <c r="E4" s="129" t="n"/>
      <c r="G4" s="22" t="inlineStr">
        <is>
          <t>Market Price Date</t>
        </is>
      </c>
      <c r="I4" s="130" t="n">
        <v>46106</v>
      </c>
      <c r="J4" s="23" t="inlineStr">
        <is>
          <t>(Date)</t>
        </is>
      </c>
    </row>
    <row r="5" ht="16.5" customHeight="1">
      <c r="B5" s="22" t="n"/>
      <c r="D5" s="26" t="n"/>
      <c r="E5" s="26" t="n"/>
      <c r="G5" s="22" t="inlineStr">
        <is>
          <t>Market Price per Share</t>
        </is>
      </c>
      <c r="I5" s="77" t="n">
        <v>6.39</v>
      </c>
    </row>
    <row r="6" ht="21" customHeight="1">
      <c r="B6" s="24" t="inlineStr">
        <is>
          <t>Write Names of Group Members below:</t>
        </is>
      </c>
      <c r="G6" s="22" t="inlineStr">
        <is>
          <t>Intrinsic Share Price</t>
        </is>
      </c>
      <c r="I6" s="78">
        <f>Valuation!E35</f>
        <v/>
      </c>
    </row>
    <row r="7" ht="17.25" customHeight="1">
      <c r="A7" s="20" t="inlineStr">
        <is>
          <t>1.</t>
        </is>
      </c>
      <c r="B7" s="131" t="n"/>
      <c r="C7" s="132" t="n"/>
      <c r="D7" s="132" t="n"/>
      <c r="E7" s="133" t="n"/>
      <c r="F7" s="27" t="inlineStr">
        <is>
          <t>(Group Leader)</t>
        </is>
      </c>
      <c r="G7" s="22" t="inlineStr">
        <is>
          <t>Up/Downside SAR</t>
        </is>
      </c>
      <c r="I7" s="79" t="n"/>
    </row>
    <row r="8" ht="17.25" customHeight="1">
      <c r="A8" s="21" t="n"/>
      <c r="G8" s="22" t="inlineStr">
        <is>
          <t>Up/Downside %</t>
        </is>
      </c>
      <c r="I8" s="80" t="n"/>
      <c r="J8" s="23" t="inlineStr">
        <is>
          <t>(Percentage)</t>
        </is>
      </c>
    </row>
    <row r="9" ht="18" customHeight="1" thickBot="1">
      <c r="A9" s="20" t="inlineStr">
        <is>
          <t>2.</t>
        </is>
      </c>
      <c r="B9" s="131" t="n"/>
      <c r="C9" s="132" t="n"/>
      <c r="D9" s="132" t="n"/>
      <c r="E9" s="133" t="n"/>
      <c r="F9" s="19" t="n"/>
      <c r="G9" s="22" t="inlineStr">
        <is>
          <t>Recommendation</t>
        </is>
      </c>
      <c r="H9" s="19" t="n"/>
      <c r="I9" s="134" t="n"/>
      <c r="J9" s="23" t="inlineStr">
        <is>
          <t>(Buy or Sell)</t>
        </is>
      </c>
    </row>
    <row r="10" ht="17.25" customHeight="1">
      <c r="A10" s="21" t="n"/>
    </row>
    <row r="11" ht="17.25" customHeight="1">
      <c r="A11" s="20" t="inlineStr">
        <is>
          <t>3.</t>
        </is>
      </c>
      <c r="B11" s="131" t="n"/>
      <c r="C11" s="132" t="n"/>
      <c r="D11" s="132" t="n"/>
      <c r="E11" s="133" t="n"/>
    </row>
    <row r="12" ht="17.25" customHeight="1">
      <c r="A12" s="21" t="n"/>
    </row>
    <row r="13" ht="17.25" customHeight="1">
      <c r="A13" s="20" t="inlineStr">
        <is>
          <t>4.</t>
        </is>
      </c>
      <c r="B13" s="131" t="n"/>
      <c r="C13" s="132" t="n"/>
      <c r="D13" s="132" t="n"/>
      <c r="E13" s="133" t="n"/>
    </row>
    <row r="14" ht="17.25" customHeight="1">
      <c r="A14" s="21" t="n"/>
    </row>
    <row r="15" ht="17.25" customHeight="1">
      <c r="A15" s="20" t="inlineStr">
        <is>
          <t>5.</t>
        </is>
      </c>
      <c r="B15" s="131" t="n"/>
      <c r="C15" s="132" t="n"/>
      <c r="D15" s="132" t="n"/>
      <c r="E15" s="133" t="n"/>
      <c r="H15" s="25" t="n"/>
    </row>
    <row r="16" ht="15.75" customHeight="1"/>
    <row r="17" ht="15.75" customFormat="1" customHeight="1" s="19"/>
    <row r="18" ht="15.75" customFormat="1" customHeight="1" s="19"/>
    <row r="19" ht="15.75" customFormat="1" customHeight="1" s="19"/>
    <row r="20" ht="15.75" customFormat="1" customHeight="1" s="19"/>
    <row r="21" ht="15.75" customFormat="1" customHeight="1" s="19"/>
    <row r="22" ht="15.75" customFormat="1" customHeight="1" s="19"/>
    <row r="23" ht="15.75" customFormat="1" customHeight="1" s="19"/>
    <row r="24" ht="15.75" customFormat="1" customHeight="1" s="19"/>
    <row r="25" ht="15.75" customFormat="1" customHeight="1" s="19"/>
    <row r="26" ht="15.75" customFormat="1" customHeight="1" s="19"/>
    <row r="27" ht="15.75" customFormat="1" customHeight="1" s="19"/>
    <row r="28" ht="15.75" customFormat="1" customHeight="1" s="19"/>
    <row r="29" ht="15.75" customFormat="1" customHeight="1" s="19"/>
    <row r="30" ht="15.75" customFormat="1" customHeight="1" s="19"/>
    <row r="31" ht="15.75" customFormat="1" customHeight="1" s="19"/>
    <row r="32" ht="15.75" customFormat="1" customHeight="1" s="19"/>
    <row r="33" ht="15.75" customFormat="1" customHeight="1" s="19"/>
    <row r="34" ht="15" customFormat="1" customHeight="1" s="19"/>
    <row r="35" ht="15" customFormat="1" customHeight="1" s="19"/>
    <row r="36" ht="15" customFormat="1" customHeight="1" s="19"/>
    <row r="37" ht="15" customFormat="1" customHeight="1" s="19"/>
    <row r="38" ht="15" customFormat="1" customHeight="1" s="19"/>
    <row r="39" ht="15" customFormat="1" customHeight="1" s="19"/>
    <row r="40" ht="15" customFormat="1" customHeight="1" s="19"/>
    <row r="41" ht="15" customFormat="1" customHeight="1" s="19"/>
    <row r="42" ht="15" customFormat="1" customHeight="1" s="19"/>
    <row r="43" ht="15" customFormat="1" customHeight="1" s="19"/>
  </sheetData>
  <mergeCells count="8">
    <mergeCell ref="B9:E9"/>
    <mergeCell ref="D2:E2"/>
    <mergeCell ref="B13:E13"/>
    <mergeCell ref="B15:E15"/>
    <mergeCell ref="B7:E7"/>
    <mergeCell ref="B11:E11"/>
    <mergeCell ref="D4:E4"/>
    <mergeCell ref="D3:E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9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baseColWidth="8" defaultRowHeight="12.75"/>
  <cols>
    <col width="37" bestFit="1" customWidth="1" style="28" min="1" max="1"/>
    <col width="9.625" customWidth="1" style="28" min="2" max="8"/>
    <col width="12.5" bestFit="1" customWidth="1" style="28" min="9" max="9"/>
    <col width="9" customWidth="1" style="28" min="10" max="16384"/>
  </cols>
  <sheetData>
    <row r="1" ht="26.25" customHeight="1">
      <c r="A1" s="90">
        <f>'Cover Page'!I2</f>
        <v/>
      </c>
      <c r="E1" s="29" t="n"/>
    </row>
    <row r="2" ht="15.75" customHeight="1">
      <c r="A2" s="89">
        <f>'Cover Page'!I3</f>
        <v/>
      </c>
      <c r="B2" s="82" t="n">
        <v>2022</v>
      </c>
      <c r="C2" s="82" t="n">
        <v>2023</v>
      </c>
      <c r="D2" s="82" t="n">
        <v>2024</v>
      </c>
      <c r="E2" s="82" t="n">
        <v>2025</v>
      </c>
      <c r="F2" s="82" t="n">
        <v>2025</v>
      </c>
      <c r="G2" s="82" t="n">
        <v>2026</v>
      </c>
      <c r="H2" s="82" t="n">
        <v>2027</v>
      </c>
      <c r="I2" s="31" t="n"/>
    </row>
    <row r="3" ht="15.75" customHeight="1">
      <c r="A3" s="32" t="n"/>
      <c r="B3" s="83" t="inlineStr">
        <is>
          <t>Actual</t>
        </is>
      </c>
      <c r="C3" s="83" t="inlineStr">
        <is>
          <t>Actual</t>
        </is>
      </c>
      <c r="D3" s="83" t="inlineStr">
        <is>
          <t>Actual</t>
        </is>
      </c>
      <c r="E3" s="83" t="inlineStr">
        <is>
          <t>Actual</t>
        </is>
      </c>
      <c r="F3" s="83" t="inlineStr">
        <is>
          <t>Forecast</t>
        </is>
      </c>
      <c r="G3" s="83" t="inlineStr">
        <is>
          <t>Forecast</t>
        </is>
      </c>
      <c r="H3" s="83" t="inlineStr">
        <is>
          <t>Forecast</t>
        </is>
      </c>
      <c r="I3" s="83" t="n"/>
    </row>
    <row r="4" ht="15.75" customHeight="1">
      <c r="A4" s="105" t="inlineStr">
        <is>
          <t>Key Assumptions</t>
        </is>
      </c>
      <c r="B4" s="96" t="n"/>
      <c r="C4" s="96" t="n"/>
      <c r="D4" s="96" t="n"/>
      <c r="E4" s="96" t="n"/>
      <c r="F4" s="96" t="n"/>
      <c r="G4" s="96" t="n"/>
      <c r="H4" s="96" t="n"/>
      <c r="I4" s="96" t="n"/>
    </row>
    <row r="5" ht="15.75" customHeight="1">
      <c r="A5" s="97" t="inlineStr">
        <is>
          <t>Sales Growth Rate</t>
        </is>
      </c>
      <c r="B5" s="98" t="n"/>
      <c r="C5" s="99">
        <f>(C34-B34)/B34</f>
        <v/>
      </c>
      <c r="D5" s="99">
        <f>(D34-C34)/C34</f>
        <v/>
      </c>
      <c r="E5" s="99">
        <f>(E34-D34)/D34</f>
        <v/>
      </c>
      <c r="F5" s="100" t="n">
        <v>0.06</v>
      </c>
      <c r="G5" s="100" t="n">
        <v>0.05</v>
      </c>
      <c r="H5" s="100" t="n">
        <v>0.05</v>
      </c>
      <c r="I5" s="101" t="n"/>
    </row>
    <row r="6" ht="15.75" customHeight="1">
      <c r="A6" s="97" t="inlineStr">
        <is>
          <t>Tax Rate</t>
        </is>
      </c>
      <c r="B6" s="102" t="n">
        <v>0.2</v>
      </c>
      <c r="C6" s="102" t="n">
        <v>0.22</v>
      </c>
      <c r="D6" s="102" t="n">
        <v>0.22</v>
      </c>
      <c r="E6" s="102" t="n">
        <v>0.22</v>
      </c>
      <c r="F6" s="102" t="n">
        <v>0.22</v>
      </c>
      <c r="G6" s="102" t="n">
        <v>0.4</v>
      </c>
      <c r="H6" s="102" t="n">
        <v>0.4</v>
      </c>
      <c r="I6" s="101" t="n"/>
    </row>
    <row r="7" ht="15.75" customHeight="1">
      <c r="A7" s="97" t="inlineStr">
        <is>
          <t>Interest Rate on Short-Term Debt</t>
        </is>
      </c>
      <c r="B7" s="102" t="n">
        <v>0.065</v>
      </c>
      <c r="C7" s="102" t="n">
        <v>0.067</v>
      </c>
      <c r="D7" s="102" t="n">
        <v>0.06900000000000001</v>
      </c>
      <c r="E7" s="102" t="n">
        <v>0.07099999999999999</v>
      </c>
      <c r="F7" s="102" t="n">
        <v>0.07000000000000001</v>
      </c>
      <c r="G7" s="102" t="n">
        <v>0.06900000000000001</v>
      </c>
      <c r="H7" s="102" t="n">
        <v>0.068</v>
      </c>
      <c r="I7" s="101" t="n"/>
    </row>
    <row r="8" ht="15.75" customHeight="1">
      <c r="A8" s="97" t="inlineStr">
        <is>
          <t>Interest Rate on Long-Term Debt</t>
        </is>
      </c>
      <c r="B8" s="102" t="n">
        <v>0.077</v>
      </c>
      <c r="C8" s="102" t="n">
        <v>0.079</v>
      </c>
      <c r="D8" s="102" t="n">
        <v>0.081</v>
      </c>
      <c r="E8" s="102" t="n">
        <v>0.083</v>
      </c>
      <c r="F8" s="102" t="n">
        <v>0.082</v>
      </c>
      <c r="G8" s="102" t="n">
        <v>0.081</v>
      </c>
      <c r="H8" s="102" t="n">
        <v>0.08</v>
      </c>
      <c r="I8" s="101" t="n"/>
    </row>
    <row r="9" ht="15.75" customHeight="1">
      <c r="A9" s="97" t="inlineStr">
        <is>
          <t>Dividend Payout Rate</t>
        </is>
      </c>
      <c r="B9" s="102">
        <f>(B51/B46)</f>
        <v/>
      </c>
      <c r="C9" s="102">
        <f>(C51/C46)</f>
        <v/>
      </c>
      <c r="D9" s="102">
        <f>(D51/D46)</f>
        <v/>
      </c>
      <c r="E9" s="102">
        <f>(E51/E46)</f>
        <v/>
      </c>
      <c r="F9" s="102" t="n">
        <v>0.35</v>
      </c>
      <c r="G9" s="102" t="n">
        <v>0.35</v>
      </c>
      <c r="H9" s="102" t="n">
        <v>0.35</v>
      </c>
      <c r="I9" s="101" t="n"/>
    </row>
    <row r="10" ht="15.75" customHeight="1">
      <c r="A10" s="97" t="inlineStr">
        <is>
          <t>Price / Earnings</t>
        </is>
      </c>
      <c r="B10" s="135">
        <f>(B105/B48)</f>
        <v/>
      </c>
      <c r="C10" s="135">
        <f>(C105/C48)</f>
        <v/>
      </c>
      <c r="D10" s="135">
        <f>(D105/D48)</f>
        <v/>
      </c>
      <c r="E10" s="135">
        <f>(E105/E48)</f>
        <v/>
      </c>
      <c r="F10" s="135" t="n">
        <v>29.4</v>
      </c>
      <c r="G10" s="135" t="n">
        <v>29.4</v>
      </c>
      <c r="H10" s="135" t="n">
        <v>29.4</v>
      </c>
      <c r="I10" s="136" t="n"/>
    </row>
    <row r="11" ht="15.75" customHeight="1">
      <c r="A11" s="97" t="inlineStr">
        <is>
          <t>EBITDA Growth Rate</t>
        </is>
      </c>
      <c r="B11" s="135" t="n">
        <v>0.1583</v>
      </c>
      <c r="C11" s="135" t="n">
        <v>0.1047</v>
      </c>
      <c r="D11" s="135" t="n">
        <v>0.08500000000000001</v>
      </c>
      <c r="E11" s="100" t="n">
        <v>0.0805</v>
      </c>
      <c r="F11" s="100" t="n">
        <v>0.1071</v>
      </c>
      <c r="G11" s="97" t="n">
        <v>0.1071</v>
      </c>
      <c r="H11" s="97" t="n">
        <v>0.1071</v>
      </c>
      <c r="I11" s="136" t="n"/>
    </row>
    <row r="12" ht="15.75" customHeight="1">
      <c r="A12" s="97" t="inlineStr">
        <is>
          <t>EBIT Growth Rate</t>
        </is>
      </c>
      <c r="B12" s="135" t="n">
        <v>82.113</v>
      </c>
      <c r="C12" s="135" t="n">
        <v>115.756</v>
      </c>
      <c r="D12" s="135" t="n">
        <v>62.225</v>
      </c>
      <c r="E12" s="100" t="n">
        <v>265.844</v>
      </c>
      <c r="F12" s="100" t="n">
        <v>0.3259946191121745</v>
      </c>
      <c r="G12" s="97" t="n"/>
      <c r="H12" s="97" t="n"/>
      <c r="I12" s="136" t="n"/>
    </row>
    <row r="13" ht="15.75" customHeight="1">
      <c r="A13" s="97" t="inlineStr">
        <is>
          <t xml:space="preserve">NWC Avg </t>
        </is>
      </c>
      <c r="B13" s="135" t="n"/>
      <c r="C13" s="135" t="n"/>
      <c r="D13" s="135" t="n"/>
      <c r="E13" s="100" t="n">
        <v>-0.162281344570829</v>
      </c>
      <c r="F13" s="100" t="n">
        <v>-0.162281344570829</v>
      </c>
      <c r="G13" s="97" t="n"/>
      <c r="H13" s="97" t="n"/>
      <c r="I13" s="136" t="n"/>
    </row>
    <row r="14" ht="15.75" customHeight="1">
      <c r="A14" s="97" t="inlineStr">
        <is>
          <t xml:space="preserve">Dep/Amo Avg Growth </t>
        </is>
      </c>
      <c r="B14" s="135" t="n"/>
      <c r="C14" s="135" t="n"/>
      <c r="D14" s="135" t="n"/>
      <c r="E14" s="100" t="n">
        <v>0.02461423352360246</v>
      </c>
      <c r="F14" s="100" t="n">
        <v>0.02461423352360246</v>
      </c>
      <c r="G14" s="97" t="n"/>
      <c r="H14" s="97" t="n"/>
      <c r="I14" s="136" t="n"/>
    </row>
    <row r="15" ht="15.75" customHeight="1">
      <c r="A15" s="97" t="inlineStr">
        <is>
          <t>Capex Avg</t>
        </is>
      </c>
      <c r="B15" s="135" t="n"/>
      <c r="C15" s="135" t="n"/>
      <c r="D15" s="135" t="n"/>
      <c r="E15" s="100" t="n">
        <v>0.01684679299392658</v>
      </c>
      <c r="F15" s="100" t="n">
        <v>0.01684679299392658</v>
      </c>
      <c r="G15" s="97" t="n"/>
      <c r="H15" s="97" t="n"/>
      <c r="I15" s="136" t="n"/>
    </row>
    <row r="16" ht="15.75" customHeight="1">
      <c r="A16" s="97" t="inlineStr">
        <is>
          <t>WACC</t>
        </is>
      </c>
      <c r="B16" s="135" t="n"/>
      <c r="C16" s="135" t="n"/>
      <c r="D16" s="135" t="n"/>
      <c r="E16" s="100" t="n">
        <v>0.1</v>
      </c>
      <c r="F16" s="100" t="n">
        <v>0.1</v>
      </c>
      <c r="G16" s="97" t="n"/>
      <c r="H16" s="97" t="n"/>
      <c r="I16" s="136" t="n"/>
    </row>
    <row r="17" ht="15.75" customHeight="1">
      <c r="A17" s="19" t="n"/>
      <c r="B17" s="136" t="n"/>
      <c r="C17" s="136" t="n"/>
      <c r="D17" s="136" t="n"/>
      <c r="E17" s="136" t="n"/>
      <c r="F17" s="101" t="n"/>
      <c r="G17" s="101" t="n"/>
      <c r="H17" s="101" t="n"/>
      <c r="I17" s="136" t="n"/>
    </row>
    <row r="18" ht="15.75" customHeight="1">
      <c r="A18" s="101" t="n"/>
      <c r="B18" s="136" t="n"/>
      <c r="C18" s="136" t="n"/>
      <c r="D18" s="136" t="n"/>
      <c r="E18" s="136" t="n"/>
      <c r="F18" s="101" t="n"/>
      <c r="G18" s="101" t="n"/>
      <c r="H18" s="101" t="n"/>
      <c r="I18" s="136" t="n"/>
    </row>
    <row r="19" ht="15.75" customHeight="1">
      <c r="A19" s="101" t="n"/>
      <c r="B19" s="136" t="n"/>
      <c r="C19" s="136" t="n"/>
      <c r="D19" s="136" t="n"/>
      <c r="E19" s="136" t="n"/>
      <c r="F19" s="101" t="n">
        <v>0.8</v>
      </c>
      <c r="G19" s="101" t="n">
        <v>0.8</v>
      </c>
      <c r="H19" s="101" t="n">
        <v>0.8</v>
      </c>
      <c r="I19" s="136" t="n"/>
    </row>
    <row r="20" ht="15.75" customHeight="1">
      <c r="A20" s="101" t="n"/>
      <c r="B20" s="136" t="n"/>
      <c r="C20" s="136" t="n"/>
      <c r="D20" s="136" t="n"/>
      <c r="E20" s="136" t="n"/>
      <c r="F20" s="101" t="n">
        <v>14</v>
      </c>
      <c r="G20" s="101" t="n">
        <v>14</v>
      </c>
      <c r="H20" s="101" t="n">
        <v>14</v>
      </c>
      <c r="I20" s="136" t="n"/>
    </row>
    <row r="21" ht="15.75" customHeight="1">
      <c r="A21" s="101" t="n"/>
      <c r="B21" s="136" t="n"/>
      <c r="C21" s="136" t="n"/>
      <c r="D21" s="136" t="n"/>
      <c r="E21" s="136" t="n"/>
      <c r="F21" s="101" t="n"/>
      <c r="G21" s="101" t="n"/>
      <c r="H21" s="101" t="n"/>
      <c r="I21" s="136" t="n"/>
    </row>
    <row r="22" ht="15.75" customHeight="1">
      <c r="A22" s="101" t="n"/>
      <c r="B22" s="136" t="n"/>
      <c r="C22" s="136" t="n"/>
      <c r="D22" s="136" t="n"/>
      <c r="E22" s="136" t="n"/>
      <c r="F22" s="101" t="n"/>
      <c r="G22" s="101" t="n"/>
      <c r="H22" s="101" t="n"/>
      <c r="I22" s="136" t="n"/>
    </row>
    <row r="23" ht="15.75" customHeight="1">
      <c r="A23" s="101" t="n"/>
      <c r="B23" s="136" t="n"/>
      <c r="C23" s="136" t="n"/>
      <c r="D23" s="136" t="n"/>
      <c r="E23" s="136" t="n"/>
      <c r="F23" s="101" t="n"/>
      <c r="G23" s="101" t="n"/>
      <c r="H23" s="101" t="n"/>
      <c r="I23" s="136" t="n"/>
    </row>
    <row r="24" ht="15.75" customHeight="1">
      <c r="A24" s="101" t="n"/>
      <c r="B24" s="136" t="n"/>
      <c r="C24" s="136" t="n"/>
      <c r="D24" s="136" t="n"/>
      <c r="E24" s="136" t="n"/>
      <c r="F24" s="101" t="n"/>
      <c r="G24" s="101" t="n"/>
      <c r="H24" s="101" t="n"/>
      <c r="I24" s="136" t="n"/>
    </row>
    <row r="25" ht="15.75" customHeight="1">
      <c r="A25" s="101" t="n"/>
      <c r="B25" s="136" t="n"/>
      <c r="C25" s="136" t="n"/>
      <c r="D25" s="136" t="n"/>
      <c r="E25" s="136" t="n"/>
      <c r="F25" s="101" t="n"/>
      <c r="G25" s="101" t="n"/>
      <c r="H25" s="101" t="n"/>
      <c r="I25" s="136" t="n"/>
    </row>
    <row r="26" ht="15.75" customHeight="1">
      <c r="A26" s="101" t="n"/>
      <c r="B26" s="136" t="n"/>
      <c r="C26" s="136" t="n"/>
      <c r="D26" s="136" t="n"/>
      <c r="E26" s="136" t="n">
        <v>0.1</v>
      </c>
      <c r="F26" s="101" t="n">
        <v>0.1</v>
      </c>
      <c r="G26" s="101" t="n"/>
      <c r="H26" s="101" t="n"/>
      <c r="I26" s="136" t="n"/>
    </row>
    <row r="27" ht="15.75" customHeight="1">
      <c r="A27" s="101" t="n"/>
      <c r="B27" s="136" t="n"/>
      <c r="C27" s="136" t="n"/>
      <c r="D27" s="136" t="n"/>
      <c r="E27" s="136" t="n"/>
      <c r="F27" s="101" t="n"/>
      <c r="G27" s="101" t="n"/>
      <c r="H27" s="101" t="n"/>
      <c r="I27" s="136" t="n"/>
    </row>
    <row r="28" ht="15.75" customHeight="1">
      <c r="A28" s="101" t="n"/>
      <c r="B28" s="136" t="n"/>
      <c r="C28" s="136" t="n"/>
      <c r="D28" s="136" t="n"/>
      <c r="E28" s="136" t="n"/>
      <c r="F28" s="101" t="n"/>
      <c r="G28" s="101" t="n"/>
      <c r="H28" s="101" t="n"/>
      <c r="I28" s="136" t="n"/>
    </row>
    <row r="29" ht="15.75" customHeight="1">
      <c r="A29" s="101" t="n"/>
      <c r="B29" s="136" t="n"/>
      <c r="C29" s="136" t="n"/>
      <c r="D29" s="136" t="n"/>
      <c r="E29" s="136" t="n"/>
      <c r="F29" s="101" t="n"/>
      <c r="G29" s="101" t="n"/>
      <c r="H29" s="101" t="n"/>
      <c r="I29" s="136" t="n"/>
    </row>
    <row r="30" ht="15.75" customHeight="1">
      <c r="A30" s="101" t="n"/>
      <c r="B30" s="136" t="n"/>
      <c r="C30" s="136" t="n"/>
      <c r="D30" s="136" t="n"/>
      <c r="E30" s="136" t="n"/>
      <c r="F30" s="101" t="n"/>
      <c r="G30" s="101" t="n"/>
      <c r="H30" s="101" t="n"/>
      <c r="I30" s="136" t="n"/>
    </row>
    <row r="31" ht="15.75" customHeight="1">
      <c r="A31" s="101" t="n"/>
      <c r="B31" s="136" t="n"/>
      <c r="C31" s="136" t="n"/>
      <c r="D31" s="136" t="n"/>
      <c r="E31" s="136" t="n"/>
      <c r="F31" s="101" t="n"/>
      <c r="G31" s="101" t="n"/>
      <c r="H31" s="101" t="n"/>
      <c r="I31" s="136" t="n"/>
    </row>
    <row r="32" ht="15.75" customHeight="1">
      <c r="A32" s="101" t="n"/>
      <c r="B32" s="19" t="n"/>
      <c r="C32" s="19" t="n"/>
      <c r="D32" s="19" t="n"/>
      <c r="E32" s="19" t="n"/>
      <c r="F32" s="19" t="n"/>
      <c r="G32" s="19" t="n"/>
      <c r="H32" s="19" t="n"/>
      <c r="I32" s="19" t="n"/>
    </row>
    <row r="33" ht="15.75" customHeight="1">
      <c r="A33" s="33" t="inlineStr">
        <is>
          <t>Income Statement (Mil.$)</t>
        </is>
      </c>
    </row>
    <row r="34" ht="15.75" customHeight="1">
      <c r="A34" s="28" t="inlineStr">
        <is>
          <t>Sales</t>
        </is>
      </c>
      <c r="B34" s="137" t="n">
        <v>73.84</v>
      </c>
      <c r="C34" s="137" t="n">
        <v>93.28</v>
      </c>
      <c r="D34" s="137" t="n">
        <v>115.93</v>
      </c>
      <c r="E34" s="137" t="n">
        <v>138.84</v>
      </c>
      <c r="F34" s="137">
        <f>(E34)*(1+F5)</f>
        <v/>
      </c>
      <c r="G34" s="137">
        <f>(F34)*(1+G5)</f>
        <v/>
      </c>
      <c r="H34" s="137">
        <f>(G34)*(1+H5)</f>
        <v/>
      </c>
    </row>
    <row r="35" ht="16.5" customHeight="1" thickBot="1">
      <c r="A35" s="36" t="inlineStr">
        <is>
          <t>Cost of Goods Sold</t>
        </is>
      </c>
      <c r="B35" s="138" t="n">
        <v>41.83</v>
      </c>
      <c r="C35" s="138" t="n">
        <v>58.39</v>
      </c>
      <c r="D35" s="138" t="n">
        <v>75.48999999999999</v>
      </c>
      <c r="E35" s="138" t="n">
        <v>89.83</v>
      </c>
      <c r="F35" s="138">
        <f>(F34*$I$124)</f>
        <v/>
      </c>
      <c r="G35" s="138">
        <f>(G34*$I$124)</f>
        <v/>
      </c>
      <c r="H35" s="138">
        <f>(H34*$I$124)</f>
        <v/>
      </c>
      <c r="I35" s="39" t="n"/>
    </row>
    <row r="36" ht="15.75" customHeight="1">
      <c r="A36" s="28" t="inlineStr">
        <is>
          <t>Gross Margin</t>
        </is>
      </c>
      <c r="B36" s="137">
        <f>(B34-B35)</f>
        <v/>
      </c>
      <c r="C36" s="137">
        <f>(C34-C35)</f>
        <v/>
      </c>
      <c r="D36" s="137">
        <f>(D34-D35)</f>
        <v/>
      </c>
      <c r="E36" s="137">
        <f>(E34-E35)</f>
        <v/>
      </c>
      <c r="F36" s="137">
        <f>(F34-F35)</f>
        <v/>
      </c>
      <c r="G36" s="137">
        <f>(G34-G35)</f>
        <v/>
      </c>
      <c r="H36" s="137">
        <f>(H34-H35)</f>
        <v/>
      </c>
      <c r="I36" s="39" t="n"/>
    </row>
    <row r="37" ht="15.75" customHeight="1">
      <c r="B37" s="56" t="n"/>
      <c r="C37" s="56" t="n"/>
      <c r="D37" s="56" t="n"/>
      <c r="E37" s="56" t="n"/>
      <c r="F37" s="137" t="n"/>
      <c r="G37" s="137" t="n"/>
      <c r="H37" s="139" t="n"/>
      <c r="I37" s="39" t="n"/>
    </row>
    <row r="38" ht="16.5" customHeight="1" thickBot="1">
      <c r="A38" s="36" t="inlineStr">
        <is>
          <t>Selling, Gen &amp; Adm Expenses</t>
        </is>
      </c>
      <c r="B38" s="138" t="n">
        <v>6.58</v>
      </c>
      <c r="C38" s="138" t="n">
        <v>7.28</v>
      </c>
      <c r="D38" s="138" t="n">
        <v>8.56</v>
      </c>
      <c r="E38" s="138" t="n">
        <v>10.21</v>
      </c>
      <c r="F38" s="138">
        <f>(F34*$I$127)</f>
        <v/>
      </c>
      <c r="G38" s="138">
        <f>(G34*$I$127)</f>
        <v/>
      </c>
      <c r="H38" s="138">
        <f>(H34*$I$127)</f>
        <v/>
      </c>
      <c r="I38" s="39" t="n"/>
    </row>
    <row r="39" ht="15.75" customHeight="1">
      <c r="A39" s="28" t="inlineStr">
        <is>
          <t>EBITDA</t>
        </is>
      </c>
      <c r="B39" s="137" t="n">
        <v>678.456</v>
      </c>
      <c r="C39" s="137" t="n">
        <v>583.5599999999999</v>
      </c>
      <c r="D39" s="137" t="n">
        <v>967.578</v>
      </c>
      <c r="E39" s="137" t="n">
        <v>1133.303</v>
      </c>
      <c r="F39" s="137" t="n"/>
      <c r="G39" s="137" t="n"/>
      <c r="H39" s="137" t="n"/>
      <c r="I39" s="39" t="n"/>
    </row>
    <row r="40" ht="15.75" customHeight="1">
      <c r="B40" s="137" t="n">
        <v>398.336</v>
      </c>
      <c r="C40" s="137" t="n">
        <v>364.435</v>
      </c>
      <c r="D40" s="137" t="n">
        <v>497.756</v>
      </c>
      <c r="E40" s="137" t="n">
        <v>663.213</v>
      </c>
      <c r="F40" s="137" t="n"/>
      <c r="G40" s="137" t="n"/>
      <c r="H40" s="137" t="n"/>
      <c r="I40" s="39" t="n"/>
    </row>
    <row r="41" ht="16.5" customHeight="1" thickBot="1">
      <c r="A41" s="36" t="inlineStr">
        <is>
          <t>Depreciation</t>
        </is>
      </c>
      <c r="B41" s="138" t="n">
        <v>5.91</v>
      </c>
      <c r="C41" s="138" t="n">
        <v>6.37</v>
      </c>
      <c r="D41" s="138" t="n">
        <v>7.31</v>
      </c>
      <c r="E41" s="138" t="n">
        <v>9.859999999999999</v>
      </c>
      <c r="F41" s="138">
        <f>(F34*$I$128)</f>
        <v/>
      </c>
      <c r="G41" s="138">
        <f>(G34*$I$128)</f>
        <v/>
      </c>
      <c r="H41" s="138">
        <f>(H34*$I$128)</f>
        <v/>
      </c>
      <c r="I41" s="39" t="n"/>
    </row>
    <row r="42" ht="15.75" customHeight="1">
      <c r="A42" s="28" t="inlineStr">
        <is>
          <t>EBIT</t>
        </is>
      </c>
      <c r="B42" s="137">
        <f>(B36-B38-B41)</f>
        <v/>
      </c>
      <c r="C42" s="137">
        <f>(C36-C38-C41)</f>
        <v/>
      </c>
      <c r="D42" s="137">
        <f>(D36-D38-D41)</f>
        <v/>
      </c>
      <c r="E42" s="137">
        <f>(E36-E38-E41)</f>
        <v/>
      </c>
      <c r="F42" s="137">
        <f>(F36-F38-F41)</f>
        <v/>
      </c>
      <c r="G42" s="137">
        <f>(G36-G38-G41)</f>
        <v/>
      </c>
      <c r="H42" s="137">
        <f>(H36-H38-H41)</f>
        <v/>
      </c>
      <c r="I42" s="39" t="n"/>
    </row>
    <row r="43" ht="15.75" customHeight="1">
      <c r="B43" s="137" t="n">
        <v>46.593</v>
      </c>
      <c r="C43" s="137" t="n">
        <v>39.142</v>
      </c>
      <c r="D43" s="137" t="n">
        <v>88.80500000000001</v>
      </c>
      <c r="E43" s="137" t="n">
        <v>70.32899999999999</v>
      </c>
      <c r="F43" s="137" t="n"/>
      <c r="G43" s="137" t="n"/>
      <c r="H43" s="137" t="n"/>
      <c r="I43" s="39" t="n"/>
    </row>
    <row r="44" ht="15.75" customHeight="1">
      <c r="A44" s="28" t="inlineStr">
        <is>
          <t>Interest Expense</t>
        </is>
      </c>
      <c r="B44" s="137" t="n">
        <v>4.76</v>
      </c>
      <c r="C44" s="137" t="n">
        <v>5.23</v>
      </c>
      <c r="D44" s="137" t="n">
        <v>6.69</v>
      </c>
      <c r="E44" s="137" t="n">
        <v>8.880000000000001</v>
      </c>
      <c r="F44" s="137">
        <f>(F7*E91)+(E94*F8)</f>
        <v/>
      </c>
      <c r="G44" s="137">
        <f>(G7*F91)+(F94*G8)</f>
        <v/>
      </c>
      <c r="H44" s="137">
        <f>(H7*G91)+(G94*H8)</f>
        <v/>
      </c>
      <c r="I44" s="39" t="n"/>
    </row>
    <row r="45" ht="16.5" customHeight="1" thickBot="1">
      <c r="A45" s="36" t="inlineStr">
        <is>
          <t>Taxes</t>
        </is>
      </c>
      <c r="B45" s="138" t="n">
        <v>6.21</v>
      </c>
      <c r="C45" s="138" t="n">
        <v>6.96</v>
      </c>
      <c r="D45" s="138" t="n">
        <v>7.52</v>
      </c>
      <c r="E45" s="138" t="n">
        <v>7.6</v>
      </c>
      <c r="F45" s="138">
        <f>(F42-F44)*F6</f>
        <v/>
      </c>
      <c r="G45" s="138">
        <f>(G42-G44)*G6</f>
        <v/>
      </c>
      <c r="H45" s="138">
        <f>(H42-H44)*H6</f>
        <v/>
      </c>
      <c r="I45" s="39" t="n"/>
    </row>
    <row r="46" ht="15.75" customHeight="1">
      <c r="A46" s="28" t="inlineStr">
        <is>
          <t>Net Income</t>
        </is>
      </c>
      <c r="B46" s="137" t="n">
        <v>72.369</v>
      </c>
      <c r="C46" s="137" t="n">
        <v>59.816</v>
      </c>
      <c r="D46" s="137" t="n">
        <v>88.724</v>
      </c>
      <c r="E46" s="137" t="n">
        <v>132.8</v>
      </c>
      <c r="F46" s="137">
        <f>(F42-F44-F45)</f>
        <v/>
      </c>
      <c r="G46" s="137">
        <f>(G42-G44-G45)</f>
        <v/>
      </c>
      <c r="H46" s="137">
        <f>(H42-H44-H45)</f>
        <v/>
      </c>
      <c r="I46" s="39" t="n"/>
    </row>
    <row r="47" ht="15.75" customHeight="1">
      <c r="A47" s="28" t="inlineStr">
        <is>
          <t>Shares Outstanding (Millions)</t>
        </is>
      </c>
      <c r="B47" s="73" t="n">
        <v>39.6</v>
      </c>
      <c r="C47" s="73" t="n">
        <v>40.36</v>
      </c>
      <c r="D47" s="73" t="n">
        <v>44.93</v>
      </c>
      <c r="E47" s="73" t="n">
        <v>53.91</v>
      </c>
      <c r="F47" s="75">
        <f>(E47)+((F98-E98)/E105)</f>
        <v/>
      </c>
      <c r="G47" s="75">
        <f>(F47)+((G98-F98)/F105)</f>
        <v/>
      </c>
      <c r="H47" s="75">
        <f>(G47)+((H98-G98)/G105)</f>
        <v/>
      </c>
      <c r="I47" s="44" t="n"/>
    </row>
    <row r="48" ht="15.75" customHeight="1">
      <c r="A48" s="28" t="inlineStr">
        <is>
          <t>Earnings Per Share</t>
        </is>
      </c>
      <c r="B48" s="140">
        <f>(B46/B47)</f>
        <v/>
      </c>
      <c r="C48" s="140">
        <f>(C46/C47)</f>
        <v/>
      </c>
      <c r="D48" s="140">
        <f>(D46/D47)</f>
        <v/>
      </c>
      <c r="E48" s="140">
        <f>(E46/E47)</f>
        <v/>
      </c>
      <c r="F48" s="140">
        <f>(F46/F47)</f>
        <v/>
      </c>
      <c r="G48" s="140">
        <f>(G46/G47)</f>
        <v/>
      </c>
      <c r="H48" s="140">
        <f>(H46/H47)</f>
        <v/>
      </c>
      <c r="I48" s="39" t="n"/>
    </row>
    <row r="49" ht="15.75" customHeight="1">
      <c r="B49" s="141" t="n">
        <v>1.03</v>
      </c>
      <c r="C49" s="141" t="n">
        <v>0.959</v>
      </c>
      <c r="D49" s="141" t="n">
        <v>4.032</v>
      </c>
      <c r="E49" s="141" t="n">
        <v>4.441</v>
      </c>
      <c r="F49" s="141" t="n"/>
      <c r="G49" s="141" t="n"/>
      <c r="H49" s="141" t="n"/>
    </row>
    <row r="50" ht="15.75" customHeight="1">
      <c r="A50" s="46" t="inlineStr">
        <is>
          <t>Allocation of Net Income:</t>
        </is>
      </c>
      <c r="B50" s="142" t="n">
        <v>24.541</v>
      </c>
      <c r="C50" s="142" t="n">
        <v>16.605</v>
      </c>
      <c r="D50" s="142" t="n">
        <v>27.981</v>
      </c>
      <c r="E50" s="142" t="n">
        <v>22.762</v>
      </c>
      <c r="F50" s="142" t="n"/>
      <c r="G50" s="142" t="n"/>
      <c r="H50" s="142" t="n"/>
    </row>
    <row r="51" ht="15.75" customHeight="1">
      <c r="A51" s="28" t="inlineStr">
        <is>
          <t>Dividends</t>
        </is>
      </c>
      <c r="B51" s="137" t="n">
        <v>130.513</v>
      </c>
      <c r="C51" s="137" t="n">
        <v>141.971</v>
      </c>
      <c r="D51" s="137" t="n">
        <v>301.349</v>
      </c>
      <c r="E51" s="137" t="n">
        <v>259.933</v>
      </c>
      <c r="F51" s="137">
        <f>(F46*F9)</f>
        <v/>
      </c>
      <c r="G51" s="137">
        <f>(G46*G9)</f>
        <v/>
      </c>
      <c r="H51" s="137">
        <f>(H46*H9)</f>
        <v/>
      </c>
    </row>
    <row r="52" ht="15.75" customHeight="1">
      <c r="A52" s="28" t="inlineStr">
        <is>
          <t>Change in Equity</t>
        </is>
      </c>
      <c r="B52" s="137" t="n">
        <v>90</v>
      </c>
      <c r="C52" s="137" t="n">
        <v>90</v>
      </c>
      <c r="D52" s="137" t="n">
        <v>101.07</v>
      </c>
      <c r="E52" s="137" t="n">
        <v>109.659</v>
      </c>
      <c r="F52" s="137">
        <f>(F46-F51)</f>
        <v/>
      </c>
      <c r="G52" s="137">
        <f>(G46-G51)</f>
        <v/>
      </c>
      <c r="H52" s="137">
        <f>(H46-H51)</f>
        <v/>
      </c>
    </row>
    <row r="53" ht="15.75" customHeight="1">
      <c r="B53" s="137" t="n"/>
      <c r="C53" s="137" t="n"/>
      <c r="D53" s="137" t="n"/>
      <c r="E53" s="137" t="n"/>
      <c r="F53" s="137" t="n"/>
      <c r="G53" s="137" t="n"/>
      <c r="H53" s="137" t="n"/>
    </row>
    <row r="54" ht="15.75" customHeight="1">
      <c r="B54" s="137" t="n"/>
      <c r="C54" s="137" t="n"/>
      <c r="D54" s="137" t="n"/>
      <c r="E54" s="137" t="n"/>
      <c r="F54" s="137" t="n"/>
      <c r="G54" s="137" t="n"/>
      <c r="H54" s="137" t="n"/>
    </row>
    <row r="55" ht="15.75" customHeight="1">
      <c r="B55" s="137" t="n"/>
      <c r="C55" s="137" t="n"/>
      <c r="D55" s="137" t="n"/>
      <c r="E55" s="137" t="n"/>
      <c r="F55" s="137" t="n"/>
      <c r="G55" s="137" t="n"/>
      <c r="H55" s="137" t="n"/>
    </row>
    <row r="56" ht="15.75" customHeight="1">
      <c r="B56" s="137" t="n">
        <v>204.798</v>
      </c>
      <c r="C56" s="137" t="n">
        <v>230.513</v>
      </c>
      <c r="D56" s="137" t="n">
        <v>276.385</v>
      </c>
      <c r="E56" s="137" t="n">
        <v>349.828</v>
      </c>
      <c r="F56" s="137" t="n"/>
      <c r="G56" s="137" t="n"/>
      <c r="H56" s="137" t="n"/>
    </row>
    <row r="57" ht="15.75" customHeight="1">
      <c r="B57" s="137" t="n"/>
      <c r="C57" s="137" t="n"/>
      <c r="D57" s="137" t="n"/>
      <c r="E57" s="137" t="n"/>
      <c r="F57" s="137" t="n"/>
      <c r="G57" s="137" t="n"/>
      <c r="H57" s="137" t="n"/>
    </row>
    <row r="58" ht="15.75" customHeight="1">
      <c r="B58" s="137" t="n"/>
      <c r="C58" s="137" t="n"/>
      <c r="D58" s="137" t="n"/>
      <c r="E58" s="137" t="n"/>
      <c r="F58" s="137" t="n"/>
      <c r="G58" s="137" t="n"/>
      <c r="H58" s="137" t="n"/>
    </row>
    <row r="59" ht="15.75" customHeight="1">
      <c r="B59" s="137" t="n"/>
      <c r="C59" s="137" t="n"/>
      <c r="D59" s="137" t="n"/>
      <c r="E59" s="137" t="n"/>
      <c r="F59" s="137" t="n"/>
      <c r="G59" s="137" t="n"/>
      <c r="H59" s="137" t="n"/>
    </row>
    <row r="60" ht="15.75" customHeight="1">
      <c r="B60" s="137" t="n"/>
      <c r="C60" s="137" t="n"/>
      <c r="D60" s="137" t="n"/>
      <c r="E60" s="137" t="n"/>
      <c r="F60" s="137" t="n"/>
      <c r="G60" s="137" t="n"/>
      <c r="H60" s="137" t="n"/>
    </row>
    <row r="61" ht="15.75" customHeight="1">
      <c r="B61" s="137" t="n"/>
      <c r="C61" s="137" t="n"/>
      <c r="D61" s="137" t="n"/>
      <c r="E61" s="137" t="n"/>
      <c r="F61" s="137" t="n"/>
      <c r="G61" s="137" t="n"/>
      <c r="H61" s="137" t="n"/>
    </row>
    <row r="62" ht="15.75" customHeight="1">
      <c r="B62" s="137" t="n"/>
      <c r="C62" s="137" t="n"/>
      <c r="D62" s="137" t="n"/>
      <c r="E62" s="137" t="n"/>
      <c r="F62" s="137" t="n"/>
      <c r="G62" s="137" t="n"/>
      <c r="H62" s="137" t="n"/>
    </row>
    <row r="63" ht="15.75" customHeight="1">
      <c r="B63" s="137" t="n"/>
      <c r="C63" s="137" t="n"/>
      <c r="D63" s="137" t="n"/>
      <c r="E63" s="137" t="n"/>
      <c r="F63" s="137" t="n"/>
      <c r="G63" s="137" t="n"/>
      <c r="H63" s="137" t="n"/>
    </row>
    <row r="64" ht="15.75" customHeight="1">
      <c r="B64" s="137" t="n"/>
      <c r="C64" s="137" t="n"/>
      <c r="D64" s="137" t="n"/>
      <c r="E64" s="137" t="n"/>
      <c r="F64" s="137" t="n"/>
      <c r="G64" s="137" t="n"/>
      <c r="H64" s="137" t="n"/>
    </row>
    <row r="65" ht="15.75" customHeight="1">
      <c r="B65" s="137" t="n"/>
      <c r="C65" s="137" t="n"/>
      <c r="D65" s="137" t="n"/>
      <c r="E65" s="137" t="n"/>
      <c r="F65" s="137" t="n"/>
      <c r="G65" s="137" t="n"/>
      <c r="H65" s="137" t="n"/>
    </row>
    <row r="66" ht="15.75" customHeight="1">
      <c r="B66" s="137" t="n">
        <v>51.884</v>
      </c>
      <c r="C66" s="137" t="n">
        <v>39.989</v>
      </c>
      <c r="D66" s="137" t="n">
        <v>106.802</v>
      </c>
      <c r="E66" s="137" t="n">
        <v>104.75</v>
      </c>
      <c r="F66" s="137" t="n"/>
      <c r="G66" s="137" t="n"/>
      <c r="H66" s="137" t="n"/>
    </row>
    <row r="67" ht="15.75" customHeight="1">
      <c r="B67" s="137" t="n">
        <v>51.6</v>
      </c>
      <c r="C67" s="137" t="n">
        <v>67.864</v>
      </c>
      <c r="D67" s="137" t="n">
        <v>140.601</v>
      </c>
      <c r="E67" s="137" t="n">
        <v>169.629</v>
      </c>
      <c r="F67" s="137" t="n"/>
      <c r="G67" s="137" t="n"/>
      <c r="H67" s="137" t="n"/>
    </row>
    <row r="68" ht="15.75" customHeight="1">
      <c r="B68" s="137" t="n">
        <v>345.766</v>
      </c>
      <c r="C68" s="137" t="n">
        <v>379.246</v>
      </c>
      <c r="D68" s="137" t="n">
        <v>759.7</v>
      </c>
      <c r="E68" s="137" t="n">
        <v>765.689</v>
      </c>
      <c r="F68" s="137" t="n"/>
      <c r="G68" s="137" t="n"/>
      <c r="H68" s="137" t="n"/>
    </row>
    <row r="69" ht="15.75" customHeight="1">
      <c r="B69" s="137" t="n"/>
      <c r="C69" s="137" t="n"/>
      <c r="D69" s="137" t="n"/>
      <c r="E69" s="137" t="n"/>
      <c r="F69" s="137" t="n"/>
      <c r="G69" s="137" t="n"/>
      <c r="H69" s="137" t="n"/>
    </row>
    <row r="70" ht="15.75" customHeight="1">
      <c r="A70" s="33" t="inlineStr">
        <is>
          <t>Balance Sheet (Mil.$)</t>
        </is>
      </c>
      <c r="B70" s="31" t="n"/>
      <c r="C70" s="50" t="n"/>
      <c r="D70" s="50" t="n"/>
      <c r="E70" s="50" t="n"/>
      <c r="F70" s="50" t="n"/>
      <c r="G70" s="50" t="n"/>
      <c r="H70" s="50" t="n"/>
      <c r="I70" s="31" t="n"/>
    </row>
    <row r="71" ht="15.75" customHeight="1">
      <c r="A71" s="49" t="inlineStr">
        <is>
          <t>Assets</t>
        </is>
      </c>
      <c r="B71" s="31" t="n">
        <v>547.842</v>
      </c>
      <c r="C71" s="50" t="n">
        <v>695.117</v>
      </c>
      <c r="D71" s="50" t="n">
        <v>1247.166</v>
      </c>
      <c r="E71" s="50" t="n">
        <v>1458.246</v>
      </c>
      <c r="F71" s="50" t="n"/>
      <c r="G71" s="50" t="n"/>
      <c r="H71" s="50" t="n"/>
    </row>
    <row r="72" ht="15.75" customHeight="1">
      <c r="A72" s="28" t="inlineStr">
        <is>
          <t>Current Assets</t>
        </is>
      </c>
      <c r="B72" s="137" t="n">
        <v>0</v>
      </c>
      <c r="C72" s="137" t="n">
        <v>0</v>
      </c>
      <c r="D72" s="137" t="n">
        <v>0</v>
      </c>
      <c r="E72" s="137" t="n">
        <v>0</v>
      </c>
      <c r="F72" s="137" t="n"/>
      <c r="G72" s="137" t="n"/>
      <c r="H72" s="137" t="n"/>
    </row>
    <row r="73" ht="15.75" customHeight="1">
      <c r="A73" s="28" t="inlineStr">
        <is>
          <t xml:space="preserve">   Cash &amp; Equivalents</t>
        </is>
      </c>
      <c r="B73" s="143" t="n">
        <v>4.27</v>
      </c>
      <c r="C73" s="143" t="n">
        <v>6.38</v>
      </c>
      <c r="D73" s="143" t="n">
        <v>7.62</v>
      </c>
      <c r="E73" s="143" t="n">
        <v>8.83</v>
      </c>
      <c r="F73" s="144">
        <f>(F34*$I$144)</f>
        <v/>
      </c>
      <c r="G73" s="144">
        <f>(G34*$I$144)</f>
        <v/>
      </c>
      <c r="H73" s="144">
        <f>(H34*$I$144)</f>
        <v/>
      </c>
      <c r="I73" s="39" t="n"/>
    </row>
    <row r="74" ht="15.75" customHeight="1">
      <c r="A74" s="28" t="inlineStr">
        <is>
          <t xml:space="preserve">   Receivables</t>
        </is>
      </c>
      <c r="B74" s="143" t="n">
        <v>20.58</v>
      </c>
      <c r="C74" s="143" t="n">
        <v>24.39</v>
      </c>
      <c r="D74" s="143" t="n">
        <v>28.77</v>
      </c>
      <c r="E74" s="143" t="n">
        <v>34.11</v>
      </c>
      <c r="F74" s="144">
        <f>(F34*$I$145)</f>
        <v/>
      </c>
      <c r="G74" s="144">
        <f>(G34*$I$145)</f>
        <v/>
      </c>
      <c r="H74" s="144">
        <f>(H34*$I$145)</f>
        <v/>
      </c>
      <c r="I74" s="39" t="n"/>
    </row>
    <row r="75" ht="16.5" customHeight="1" thickBot="1">
      <c r="A75" s="36" t="inlineStr">
        <is>
          <t xml:space="preserve">   Inventories</t>
        </is>
      </c>
      <c r="B75" s="145" t="n">
        <v>26.73</v>
      </c>
      <c r="C75" s="145" t="n">
        <v>30.45</v>
      </c>
      <c r="D75" s="145" t="n">
        <v>36.75</v>
      </c>
      <c r="E75" s="145" t="n">
        <v>43.27</v>
      </c>
      <c r="F75" s="144">
        <f>(F34*$I$146)</f>
        <v/>
      </c>
      <c r="G75" s="144">
        <f>(G34*$I$146)</f>
        <v/>
      </c>
      <c r="H75" s="144">
        <f>(H34*$I$146)</f>
        <v/>
      </c>
      <c r="I75" s="39" t="n"/>
    </row>
    <row r="76" ht="15.75" customHeight="1">
      <c r="A76" s="28" t="inlineStr">
        <is>
          <t>Total Current Assets</t>
        </is>
      </c>
      <c r="B76" s="137">
        <f>SUM(B73:B75)</f>
        <v/>
      </c>
      <c r="C76" s="137">
        <f>SUM(C73:C75)</f>
        <v/>
      </c>
      <c r="D76" s="137">
        <f>SUM(D73:D75)</f>
        <v/>
      </c>
      <c r="E76" s="137">
        <f>SUM(E73:E75)</f>
        <v/>
      </c>
      <c r="F76" s="137">
        <f>SUM(F73:F75)</f>
        <v/>
      </c>
      <c r="G76" s="137">
        <f>SUM(G73:G75)</f>
        <v/>
      </c>
      <c r="H76" s="137">
        <f>SUM(H73:H75)</f>
        <v/>
      </c>
    </row>
    <row r="77" ht="15.75" customHeight="1">
      <c r="B77" s="137" t="n"/>
      <c r="C77" s="137" t="n"/>
      <c r="D77" s="56" t="n"/>
      <c r="E77" s="56" t="n"/>
      <c r="F77" s="56" t="n"/>
      <c r="G77" s="56" t="n"/>
      <c r="H77" s="56" t="n"/>
    </row>
    <row r="78" ht="15.75" customHeight="1">
      <c r="A78" s="28" t="inlineStr">
        <is>
          <t>Property, Plant &amp; Equip. (PPE)</t>
        </is>
      </c>
      <c r="B78" s="143" t="n">
        <v>331.64</v>
      </c>
      <c r="C78" s="143" t="n">
        <v>423.92</v>
      </c>
      <c r="D78" s="143" t="n">
        <v>503.87</v>
      </c>
      <c r="E78" s="143" t="n">
        <v>613.28</v>
      </c>
      <c r="F78" s="137">
        <f>(F79+F80)</f>
        <v/>
      </c>
      <c r="G78" s="137">
        <f>(G79+G80)</f>
        <v/>
      </c>
      <c r="H78" s="137">
        <f>(H79+H80)</f>
        <v/>
      </c>
      <c r="I78" s="39" t="n"/>
    </row>
    <row r="79" ht="16.5" customHeight="1" thickBot="1">
      <c r="A79" s="36" t="inlineStr">
        <is>
          <t xml:space="preserve">   Accumulated Depreciation</t>
        </is>
      </c>
      <c r="B79" s="145" t="n">
        <v>118.77</v>
      </c>
      <c r="C79" s="145" t="n">
        <v>89.11799999999999</v>
      </c>
      <c r="D79" s="145" t="n">
        <v>190.946</v>
      </c>
      <c r="E79" s="145" t="n">
        <v>186.973</v>
      </c>
      <c r="F79" s="146">
        <f>(E79+F41)</f>
        <v/>
      </c>
      <c r="G79" s="146">
        <f>(F79+G41)</f>
        <v/>
      </c>
      <c r="H79" s="146">
        <f>(G79+H41)</f>
        <v/>
      </c>
      <c r="I79" s="39" t="n"/>
    </row>
    <row r="80" ht="15.75" customHeight="1">
      <c r="A80" s="28" t="inlineStr">
        <is>
          <t>Net PPE</t>
        </is>
      </c>
      <c r="B80" s="137" t="n">
        <v>0</v>
      </c>
      <c r="C80" s="137" t="n">
        <v>0</v>
      </c>
      <c r="D80" s="137" t="n">
        <v>0</v>
      </c>
      <c r="E80" s="137" t="n">
        <v>100.62</v>
      </c>
      <c r="F80" s="137">
        <f>(F34*$I$151)</f>
        <v/>
      </c>
      <c r="G80" s="137">
        <f>(G34*$I$151)</f>
        <v/>
      </c>
      <c r="H80" s="137">
        <f>(H34*$I$151)</f>
        <v/>
      </c>
      <c r="I80" s="39" t="n"/>
    </row>
    <row r="81" ht="15.75" customHeight="1">
      <c r="B81" s="137" t="n"/>
      <c r="C81" s="137" t="n"/>
      <c r="D81" s="137" t="n"/>
      <c r="E81" s="137" t="n"/>
      <c r="F81" s="56" t="n"/>
      <c r="G81" s="56" t="n"/>
      <c r="H81" s="56" t="n"/>
    </row>
    <row r="82" ht="15.75" customHeight="1">
      <c r="A82" s="28" t="inlineStr">
        <is>
          <t>Total Assets</t>
        </is>
      </c>
      <c r="B82" s="137">
        <f>(B76+B80)</f>
        <v/>
      </c>
      <c r="C82" s="137">
        <f>(C76+C80)</f>
        <v/>
      </c>
      <c r="D82" s="137">
        <f>(D76+D80)</f>
        <v/>
      </c>
      <c r="E82" s="137">
        <f>(E76+E80)</f>
        <v/>
      </c>
      <c r="F82" s="137">
        <f>(F76+F80)</f>
        <v/>
      </c>
      <c r="G82" s="137">
        <f>(G76+G80)</f>
        <v/>
      </c>
      <c r="H82" s="137">
        <f>(H76+H80)</f>
        <v/>
      </c>
    </row>
    <row r="83" ht="15.75" customHeight="1">
      <c r="B83" s="137" t="n">
        <v>0</v>
      </c>
      <c r="C83" s="137" t="n">
        <v>0</v>
      </c>
      <c r="D83" s="137" t="n">
        <v>0</v>
      </c>
      <c r="E83" s="137" t="n">
        <v>0</v>
      </c>
      <c r="F83" s="137" t="n"/>
      <c r="G83" s="137" t="n"/>
      <c r="H83" s="137" t="n"/>
    </row>
    <row r="84" ht="15.75" customHeight="1">
      <c r="B84" s="137" t="n"/>
      <c r="C84" s="137" t="n"/>
      <c r="D84" s="137" t="n"/>
      <c r="E84" s="137" t="n"/>
      <c r="F84" s="137" t="n"/>
      <c r="G84" s="137" t="n"/>
      <c r="H84" s="137" t="n"/>
    </row>
    <row r="85" ht="15.75" customHeight="1">
      <c r="B85" s="137" t="n"/>
      <c r="C85" s="137" t="n"/>
      <c r="D85" s="137" t="n"/>
      <c r="E85" s="137" t="n"/>
      <c r="F85" s="137" t="n"/>
      <c r="G85" s="137" t="n"/>
      <c r="H85" s="137" t="n"/>
    </row>
    <row r="86" ht="15.75" customHeight="1">
      <c r="B86" s="137" t="n"/>
      <c r="C86" s="137" t="n"/>
      <c r="D86" s="137" t="n"/>
      <c r="E86" s="137" t="n"/>
      <c r="F86" s="137" t="n"/>
      <c r="G86" s="137" t="n"/>
      <c r="H86" s="137" t="n"/>
    </row>
    <row r="87" ht="15.75" customHeight="1">
      <c r="B87" s="56" t="n">
        <v>1170</v>
      </c>
      <c r="C87" s="56" t="n">
        <v>1170</v>
      </c>
      <c r="D87" s="56" t="n">
        <v>2372.702</v>
      </c>
      <c r="E87" s="56" t="n">
        <v>2372.702</v>
      </c>
      <c r="F87" s="56" t="n"/>
      <c r="G87" s="56" t="n"/>
      <c r="H87" s="56" t="n"/>
    </row>
    <row r="88" ht="15.75" customHeight="1">
      <c r="A88" s="54" t="inlineStr">
        <is>
          <t>Liabilities and Shareholders' Equity</t>
        </is>
      </c>
      <c r="B88" s="137" t="n">
        <v>498.555</v>
      </c>
      <c r="C88" s="137" t="n">
        <v>411.026</v>
      </c>
      <c r="D88" s="137" t="n">
        <v>438.804</v>
      </c>
      <c r="E88" s="137" t="n">
        <v>333.644</v>
      </c>
      <c r="F88" s="137" t="n"/>
      <c r="G88" s="137" t="n"/>
      <c r="H88" s="137" t="n"/>
    </row>
    <row r="89" ht="15.75" customHeight="1">
      <c r="A89" s="28" t="inlineStr">
        <is>
          <t>Current Liabilities</t>
        </is>
      </c>
      <c r="B89" s="141" t="n"/>
      <c r="C89" s="141" t="n"/>
      <c r="D89" s="141" t="n"/>
      <c r="E89" s="141" t="n"/>
      <c r="F89" s="139" t="n"/>
      <c r="G89" s="139" t="n"/>
      <c r="H89" s="139" t="n"/>
    </row>
    <row r="90" ht="15.75" customHeight="1">
      <c r="A90" s="28" t="inlineStr">
        <is>
          <t xml:space="preserve">   Accounts Payable</t>
        </is>
      </c>
      <c r="B90" s="143" t="n">
        <v>31.83</v>
      </c>
      <c r="C90" s="143" t="n">
        <v>63.43</v>
      </c>
      <c r="D90" s="143" t="n">
        <v>83.84</v>
      </c>
      <c r="E90" s="143" t="n">
        <v>94.41</v>
      </c>
      <c r="F90" s="144">
        <f>($F$34*I157)</f>
        <v/>
      </c>
      <c r="G90" s="144">
        <f>(G34*$I$157)</f>
        <v/>
      </c>
      <c r="H90" s="144">
        <f>(H34*$I$157)</f>
        <v/>
      </c>
      <c r="I90" s="39" t="n"/>
    </row>
    <row r="91" ht="16.5" customHeight="1" thickBot="1">
      <c r="A91" s="36" t="inlineStr">
        <is>
          <t xml:space="preserve">   Short-term Debt</t>
        </is>
      </c>
      <c r="B91" s="145" t="n">
        <v>30.86</v>
      </c>
      <c r="C91" s="145" t="n">
        <v>43.03</v>
      </c>
      <c r="D91" s="145" t="n">
        <v>64.84999999999999</v>
      </c>
      <c r="E91" s="145" t="n">
        <v>79.48999999999999</v>
      </c>
      <c r="F91" s="146">
        <f>(F34*$I$158)</f>
        <v/>
      </c>
      <c r="G91" s="146">
        <f>(G34*$I$158)</f>
        <v/>
      </c>
      <c r="H91" s="146">
        <f>(H34*$I$158)</f>
        <v/>
      </c>
      <c r="I91" s="39" t="n"/>
    </row>
    <row r="92" ht="15.75" customHeight="1">
      <c r="A92" s="28" t="inlineStr">
        <is>
          <t>Total Current Liabilities</t>
        </is>
      </c>
      <c r="B92" s="137">
        <f>SUM(B90:B91)</f>
        <v/>
      </c>
      <c r="C92" s="137">
        <f>SUM(C90:C91)</f>
        <v/>
      </c>
      <c r="D92" s="137">
        <f>SUM(D90:D91)</f>
        <v/>
      </c>
      <c r="E92" s="137">
        <f>SUM(E90:E91)</f>
        <v/>
      </c>
      <c r="F92" s="137">
        <f>SUM(F90:F91)</f>
        <v/>
      </c>
      <c r="G92" s="137">
        <f>SUM(G90:G91)</f>
        <v/>
      </c>
      <c r="H92" s="137">
        <f>SUM(H90:H91)</f>
        <v/>
      </c>
      <c r="I92" s="56" t="n"/>
    </row>
    <row r="93" ht="15.75" customHeight="1">
      <c r="B93" s="141" t="n"/>
      <c r="C93" s="141" t="n"/>
      <c r="D93" s="141" t="n"/>
      <c r="E93" s="141" t="n"/>
      <c r="F93" s="141" t="n"/>
      <c r="G93" s="141" t="n"/>
      <c r="H93" s="141" t="n"/>
      <c r="I93" s="56" t="n"/>
    </row>
    <row r="94" ht="16.5" customHeight="1" thickBot="1">
      <c r="A94" s="36" t="inlineStr">
        <is>
          <t>Long-term Debt</t>
        </is>
      </c>
      <c r="B94" s="138" t="n">
        <v>58</v>
      </c>
      <c r="C94" s="138" t="n">
        <v>67</v>
      </c>
      <c r="D94" s="138" t="n">
        <v>60</v>
      </c>
      <c r="E94" s="138" t="n">
        <v>51</v>
      </c>
      <c r="F94" s="147" t="n">
        <v>83.31999999999999</v>
      </c>
      <c r="G94" s="147" t="n">
        <v>92.48</v>
      </c>
      <c r="H94" s="147" t="n">
        <v>107.71</v>
      </c>
      <c r="I94" s="39" t="n"/>
    </row>
    <row r="95" ht="15.75" customHeight="1">
      <c r="A95" s="28" t="inlineStr">
        <is>
          <t>Total Liabilities</t>
        </is>
      </c>
      <c r="B95" s="137">
        <f>(B102-B100)</f>
        <v/>
      </c>
      <c r="C95" s="137">
        <f>(C102-C100)</f>
        <v/>
      </c>
      <c r="D95" s="137">
        <f>(D102-D100)</f>
        <v/>
      </c>
      <c r="E95" s="137">
        <f>(E102-E100)</f>
        <v/>
      </c>
      <c r="F95" s="137">
        <f>(F102-F100)</f>
        <v/>
      </c>
      <c r="G95" s="137">
        <f>(G102-G100)</f>
        <v/>
      </c>
      <c r="H95" s="137">
        <f>(H102-H100)</f>
        <v/>
      </c>
      <c r="I95" s="56" t="n"/>
    </row>
    <row r="96" ht="15.75" customHeight="1">
      <c r="B96" s="56" t="n"/>
      <c r="C96" s="56" t="n"/>
      <c r="D96" s="56" t="n"/>
      <c r="E96" s="56" t="n"/>
      <c r="F96" s="141" t="n"/>
      <c r="G96" s="141" t="n"/>
      <c r="H96" s="141" t="n"/>
      <c r="I96" s="141" t="n"/>
    </row>
    <row r="97" ht="15.75" customHeight="1">
      <c r="A97" s="28" t="inlineStr">
        <is>
          <t>Shareholders' Equity</t>
        </is>
      </c>
      <c r="B97" s="56" t="n"/>
      <c r="C97" s="56" t="n"/>
      <c r="D97" s="56" t="n"/>
      <c r="E97" s="56" t="n"/>
      <c r="F97" s="56" t="n"/>
      <c r="G97" s="56" t="n"/>
      <c r="H97" s="56" t="n"/>
      <c r="I97" s="56" t="n"/>
    </row>
    <row r="98" ht="15.75" customHeight="1">
      <c r="A98" s="28" t="inlineStr">
        <is>
          <t xml:space="preserve">   Paid-in Capital</t>
        </is>
      </c>
      <c r="B98" s="143" t="n">
        <v>90</v>
      </c>
      <c r="C98" s="143" t="n">
        <v>130</v>
      </c>
      <c r="D98" s="143" t="n">
        <v>160</v>
      </c>
      <c r="E98" s="143" t="n">
        <v>220</v>
      </c>
      <c r="F98" s="148" t="n">
        <v>260</v>
      </c>
      <c r="G98" s="148" t="n">
        <v>300</v>
      </c>
      <c r="H98" s="148" t="n">
        <v>330</v>
      </c>
      <c r="I98" s="39" t="n"/>
    </row>
    <row r="99" ht="16.5" customHeight="1" thickBot="1">
      <c r="A99" s="36" t="inlineStr">
        <is>
          <t xml:space="preserve">   Retained Earnings</t>
        </is>
      </c>
      <c r="B99" s="145" t="n">
        <v>91.81</v>
      </c>
      <c r="C99" s="138">
        <f>(B99+C52)</f>
        <v/>
      </c>
      <c r="D99" s="138">
        <f>(C99+D52)</f>
        <v/>
      </c>
      <c r="E99" s="138">
        <f>(D99+E52)</f>
        <v/>
      </c>
      <c r="F99" s="138">
        <f>(E99+F52)</f>
        <v/>
      </c>
      <c r="G99" s="138">
        <f>(F99+G52)</f>
        <v/>
      </c>
      <c r="H99" s="138">
        <f>(G99+H52)</f>
        <v/>
      </c>
      <c r="I99" s="137" t="n"/>
    </row>
    <row r="100" ht="15.75" customHeight="1">
      <c r="A100" s="28" t="inlineStr">
        <is>
          <t>Total Shareholders' Equity</t>
        </is>
      </c>
      <c r="B100" s="137">
        <f>SUM(B98:B99)</f>
        <v/>
      </c>
      <c r="C100" s="137">
        <f>SUM(C98:C99)</f>
        <v/>
      </c>
      <c r="D100" s="137">
        <f>SUM(D98:D99)</f>
        <v/>
      </c>
      <c r="E100" s="137">
        <f>SUM(E98:E99)</f>
        <v/>
      </c>
      <c r="F100" s="137">
        <f>SUM(F98:F99)</f>
        <v/>
      </c>
      <c r="G100" s="137">
        <f>SUM(G98:G99)</f>
        <v/>
      </c>
      <c r="H100" s="137">
        <f>SUM(H98:H99)</f>
        <v/>
      </c>
      <c r="I100" s="137" t="n"/>
    </row>
    <row r="101" ht="15.75" customHeight="1">
      <c r="B101" s="149" t="n"/>
      <c r="C101" s="56" t="n"/>
      <c r="D101" s="56" t="n"/>
      <c r="E101" s="56" t="n"/>
      <c r="F101" s="56" t="n"/>
      <c r="G101" s="56" t="n"/>
      <c r="H101" s="56" t="n"/>
    </row>
    <row r="102" ht="15.75" customHeight="1">
      <c r="A102" s="28" t="inlineStr">
        <is>
          <t>Total Liab. &amp; Share. Equity</t>
        </is>
      </c>
      <c r="B102" s="137">
        <f>B82</f>
        <v/>
      </c>
      <c r="C102" s="137">
        <f>C82</f>
        <v/>
      </c>
      <c r="D102" s="137">
        <f>D82</f>
        <v/>
      </c>
      <c r="E102" s="137">
        <f>E82</f>
        <v/>
      </c>
      <c r="F102" s="137">
        <f>F82</f>
        <v/>
      </c>
      <c r="G102" s="137">
        <f>G82</f>
        <v/>
      </c>
      <c r="H102" s="137">
        <f>H82</f>
        <v/>
      </c>
    </row>
    <row r="103" ht="15.75" customHeight="1">
      <c r="B103" s="137" t="n"/>
      <c r="C103" s="137" t="n"/>
      <c r="D103" s="56" t="n"/>
      <c r="E103" s="56" t="n"/>
      <c r="F103" s="56" t="n"/>
      <c r="G103" s="56" t="n"/>
      <c r="H103" s="56" t="n"/>
    </row>
    <row r="104">
      <c r="A104" s="28" t="inlineStr">
        <is>
          <t>Debt / (Debt + Equity)</t>
        </is>
      </c>
      <c r="B104" s="61">
        <f>((B91+B94)/(B91+B94+B100))</f>
        <v/>
      </c>
      <c r="C104" s="61">
        <f>((C91+C94)/(C91+C94+C100))</f>
        <v/>
      </c>
      <c r="D104" s="61">
        <f>((D91+D94)/(D91+D94+D100))</f>
        <v/>
      </c>
      <c r="E104" s="61">
        <f>((E91+E94)/(E91+E94+E100))</f>
        <v/>
      </c>
      <c r="F104" s="61">
        <f>((F91+F94)/(F91+F94+F100))</f>
        <v/>
      </c>
      <c r="G104" s="61">
        <f>((G91+G94)/(G91+G94+G100))</f>
        <v/>
      </c>
      <c r="H104" s="61">
        <f>((H91+H94)/(H91+H94+H100))</f>
        <v/>
      </c>
    </row>
    <row r="105" ht="15.75" customHeight="1">
      <c r="A105" s="28" t="inlineStr">
        <is>
          <t>Market Price / Share</t>
        </is>
      </c>
      <c r="B105" s="143" t="n">
        <v>6.21</v>
      </c>
      <c r="C105" s="143" t="n">
        <v>6.57</v>
      </c>
      <c r="D105" s="143" t="n">
        <v>6.68</v>
      </c>
      <c r="E105" s="143" t="n">
        <v>6.71</v>
      </c>
      <c r="F105" s="137">
        <f>(F48*F10)</f>
        <v/>
      </c>
      <c r="G105" s="137">
        <f>(G48*G10)</f>
        <v/>
      </c>
      <c r="H105" s="137">
        <f>(H48*H10)</f>
        <v/>
      </c>
    </row>
    <row r="106" ht="15.75" customHeight="1">
      <c r="A106" s="28" t="inlineStr">
        <is>
          <t>External Funds Needed</t>
        </is>
      </c>
      <c r="B106" s="150" t="inlineStr">
        <is>
          <t>-</t>
        </is>
      </c>
      <c r="C106" s="151">
        <f>(C82-B82)-(C90-B90)-(C99-B99)</f>
        <v/>
      </c>
      <c r="D106" s="151">
        <f>(D82-C82)-(D90-C90)-(D99-C99)</f>
        <v/>
      </c>
      <c r="E106" s="151">
        <f>(E82-D82)-(E90-D90)-(E99-D99)</f>
        <v/>
      </c>
      <c r="F106" s="151">
        <f>(F82-E82)-(F90-E90)-(F99-E99)</f>
        <v/>
      </c>
      <c r="G106" s="151">
        <f>(G82-F82)-(G90-F90)-(G99-F99)</f>
        <v/>
      </c>
      <c r="H106" s="151">
        <f>(H82-G82)-(H90-G90)-(H99-G99)</f>
        <v/>
      </c>
    </row>
    <row r="107" ht="15.75" customHeight="1">
      <c r="B107" s="137" t="n"/>
      <c r="C107" s="137" t="n"/>
      <c r="D107" s="137" t="n"/>
      <c r="E107" s="137" t="n"/>
      <c r="F107" s="137" t="n"/>
      <c r="G107" s="137" t="n"/>
      <c r="H107" s="137" t="n"/>
    </row>
    <row r="108" ht="15.75" customHeight="1">
      <c r="B108" s="137" t="n"/>
      <c r="C108" s="137" t="n"/>
      <c r="D108" s="137" t="n"/>
      <c r="E108" s="137" t="n"/>
      <c r="F108" s="137" t="n"/>
      <c r="G108" s="137" t="n"/>
      <c r="H108" s="137" t="n"/>
    </row>
    <row r="109" ht="15.75" customHeight="1">
      <c r="B109" s="137" t="n"/>
      <c r="C109" s="137" t="n"/>
      <c r="D109" s="137" t="n"/>
      <c r="E109" s="137" t="n"/>
      <c r="F109" s="137" t="n"/>
      <c r="G109" s="137" t="n"/>
      <c r="H109" s="137" t="n"/>
    </row>
    <row r="110" ht="15.75" customHeight="1">
      <c r="B110" s="137" t="n"/>
      <c r="C110" s="137" t="n"/>
      <c r="D110" s="137" t="n"/>
      <c r="E110" s="137" t="n"/>
      <c r="F110" s="137" t="n"/>
      <c r="G110" s="137" t="n"/>
      <c r="H110" s="137" t="n"/>
    </row>
    <row r="111" ht="15.75" customHeight="1">
      <c r="B111" s="137" t="n"/>
      <c r="C111" s="137" t="n"/>
      <c r="D111" s="137" t="n"/>
      <c r="E111" s="137" t="n"/>
      <c r="F111" s="137" t="n"/>
      <c r="G111" s="137" t="n"/>
      <c r="H111" s="137" t="n"/>
    </row>
    <row r="112" ht="15.75" customHeight="1">
      <c r="B112" s="137" t="n"/>
      <c r="C112" s="137" t="n"/>
      <c r="D112" s="137" t="n"/>
      <c r="E112" s="137" t="n"/>
      <c r="F112" s="137" t="n"/>
      <c r="G112" s="137" t="n"/>
      <c r="H112" s="137" t="n"/>
    </row>
    <row r="113" ht="15.75" customHeight="1">
      <c r="B113" s="137" t="n"/>
      <c r="C113" s="137" t="n"/>
      <c r="D113" s="137" t="n"/>
      <c r="E113" s="137" t="n"/>
      <c r="F113" s="137" t="n"/>
      <c r="G113" s="137" t="n"/>
      <c r="H113" s="137" t="n"/>
    </row>
    <row r="114" ht="15.75" customHeight="1">
      <c r="B114" s="137" t="n"/>
      <c r="C114" s="137" t="n"/>
      <c r="D114" s="137" t="n"/>
      <c r="E114" s="137" t="n"/>
      <c r="F114" s="137" t="n"/>
      <c r="G114" s="137" t="n"/>
      <c r="H114" s="137" t="n"/>
    </row>
    <row r="115" ht="15.75" customHeight="1">
      <c r="A115" s="30" t="inlineStr">
        <is>
          <t>Cash Flow Statement (Mil.$)</t>
        </is>
      </c>
      <c r="B115" s="137" t="n"/>
      <c r="C115" s="137" t="n"/>
      <c r="D115" s="137" t="n"/>
      <c r="E115" s="137" t="n"/>
      <c r="F115" s="137" t="n"/>
      <c r="G115" s="137" t="n"/>
      <c r="H115" s="137" t="n"/>
    </row>
    <row r="116" ht="15.75" customHeight="1">
      <c r="A116" s="28" t="inlineStr">
        <is>
          <t>Cash Flow From Operating Activities</t>
        </is>
      </c>
      <c r="B116" s="137" t="n"/>
      <c r="C116" s="137" t="n"/>
      <c r="D116" s="137" t="n"/>
      <c r="E116" s="137" t="n"/>
      <c r="F116" s="137" t="n"/>
      <c r="G116" s="137" t="n"/>
      <c r="H116" s="137" t="n"/>
    </row>
    <row r="117" ht="15.75" customHeight="1">
      <c r="A117" s="28" t="inlineStr">
        <is>
          <t xml:space="preserve">   Net Income</t>
        </is>
      </c>
      <c r="B117" s="137" t="n"/>
      <c r="C117" s="137" t="n"/>
      <c r="D117" s="137" t="n"/>
      <c r="E117" s="137" t="n"/>
      <c r="F117" s="137" t="n"/>
      <c r="G117" s="137" t="n"/>
      <c r="H117" s="137" t="n"/>
    </row>
    <row r="118" ht="15.75" customHeight="1">
      <c r="A118" s="69" t="inlineStr">
        <is>
          <t xml:space="preserve">   +  Depreciation</t>
        </is>
      </c>
      <c r="B118" s="137" t="n"/>
      <c r="C118" s="137" t="n"/>
      <c r="D118" s="137" t="n"/>
      <c r="E118" s="137" t="n"/>
      <c r="F118" s="137" t="n"/>
      <c r="G118" s="137" t="n"/>
      <c r="H118" s="137" t="n"/>
    </row>
    <row r="119" ht="15.75" customHeight="1">
      <c r="A119" s="69" t="inlineStr">
        <is>
          <t xml:space="preserve">    -  Inc in Accts Receivable</t>
        </is>
      </c>
      <c r="B119" s="137" t="n"/>
      <c r="C119" s="137" t="n"/>
      <c r="D119" s="137" t="n"/>
      <c r="E119" s="137" t="n"/>
      <c r="F119" s="137" t="n"/>
      <c r="G119" s="137" t="n"/>
      <c r="H119" s="137" t="n"/>
    </row>
    <row r="120" ht="15.75" customHeight="1">
      <c r="A120" s="69" t="inlineStr">
        <is>
          <t xml:space="preserve">    -  Inc in Inventories</t>
        </is>
      </c>
      <c r="B120" s="137" t="n"/>
      <c r="C120" s="137" t="n"/>
      <c r="D120" s="137" t="n"/>
      <c r="E120" s="137" t="n"/>
      <c r="F120" s="137" t="n"/>
      <c r="G120" s="137" t="n"/>
      <c r="H120" s="137" t="n"/>
    </row>
    <row r="121" ht="16.5" customHeight="1" thickBot="1">
      <c r="A121" s="69" t="inlineStr">
        <is>
          <t xml:space="preserve">   +  Inc in Accounts Payable</t>
        </is>
      </c>
      <c r="B121" s="137" t="n"/>
      <c r="C121" s="137" t="n"/>
      <c r="D121" s="137" t="n"/>
      <c r="E121" s="137" t="n"/>
      <c r="F121" s="137" t="n"/>
      <c r="G121" s="137" t="n"/>
      <c r="H121" s="137" t="n"/>
    </row>
    <row r="122" ht="15.75" customHeight="1">
      <c r="A122" s="85" t="inlineStr">
        <is>
          <t>Cash Flow From Operat Act</t>
        </is>
      </c>
      <c r="B122" s="87" t="n"/>
      <c r="C122" s="87" t="n"/>
      <c r="D122" s="87" t="n"/>
      <c r="E122" s="87" t="n"/>
      <c r="F122" s="87" t="n"/>
      <c r="G122" s="87" t="n"/>
      <c r="H122" s="87" t="n"/>
    </row>
    <row r="123" ht="15.75" customHeight="1">
      <c r="A123" s="28" t="n"/>
    </row>
    <row r="124" ht="15.75" customHeight="1">
      <c r="A124" s="28" t="inlineStr">
        <is>
          <t>Cash Flow From Investing Activities</t>
        </is>
      </c>
    </row>
    <row r="125" ht="16.5" customHeight="1" thickBot="1">
      <c r="A125" s="28" t="inlineStr">
        <is>
          <t xml:space="preserve">    -  Invest in Plant and Equip</t>
        </is>
      </c>
    </row>
    <row r="126" ht="15.75" customHeight="1">
      <c r="A126" s="85" t="inlineStr">
        <is>
          <t>Cash Flow From Invest Act</t>
        </is>
      </c>
      <c r="B126" s="87" t="n"/>
      <c r="C126" s="87" t="n"/>
      <c r="D126" s="87" t="n"/>
      <c r="E126" s="87" t="n"/>
      <c r="F126" s="87" t="n"/>
      <c r="G126" s="87" t="n"/>
      <c r="H126" s="87" t="n"/>
    </row>
    <row r="127" ht="15.75" customHeight="1">
      <c r="A127" s="28" t="n"/>
    </row>
    <row r="128" ht="15.75" customHeight="1">
      <c r="A128" s="28" t="inlineStr">
        <is>
          <t>Cash Flow From Financing Activities</t>
        </is>
      </c>
    </row>
    <row r="129" ht="15.75" customHeight="1">
      <c r="A129" s="28" t="inlineStr">
        <is>
          <t xml:space="preserve">   +  Inc in Long-term Debt</t>
        </is>
      </c>
    </row>
    <row r="130" ht="15.75" customHeight="1">
      <c r="A130" s="28" t="inlineStr">
        <is>
          <t xml:space="preserve">   +  Inc in Short-term Debt</t>
        </is>
      </c>
    </row>
    <row r="131" ht="15.75" customHeight="1">
      <c r="A131" s="28" t="inlineStr">
        <is>
          <t xml:space="preserve">   +  Inc in Paid in Capital</t>
        </is>
      </c>
    </row>
    <row r="132" ht="16.5" customHeight="1" thickBot="1">
      <c r="A132" s="28" t="inlineStr">
        <is>
          <t xml:space="preserve">    -  Dividends Paid</t>
        </is>
      </c>
    </row>
    <row r="133" ht="15.75" customHeight="1">
      <c r="A133" s="85" t="inlineStr">
        <is>
          <t>Cash Flow From Financ Act</t>
        </is>
      </c>
      <c r="B133" s="87" t="n"/>
      <c r="C133" s="87" t="n"/>
      <c r="D133" s="87" t="n"/>
      <c r="E133" s="87" t="n"/>
      <c r="F133" s="87" t="n"/>
      <c r="G133" s="87" t="n"/>
      <c r="H133" s="87" t="n"/>
    </row>
    <row r="134" ht="15.75" customHeight="1">
      <c r="A134" s="28" t="n"/>
    </row>
    <row r="135" ht="15.75" customHeight="1">
      <c r="A135" s="28" t="inlineStr">
        <is>
          <t>Change in Cash and Equiv</t>
        </is>
      </c>
    </row>
    <row r="136" ht="12.75" customHeight="1" thickBot="1">
      <c r="A136" s="28" t="inlineStr">
        <is>
          <t>Add: Cash and Equiv, Begin of Yr</t>
        </is>
      </c>
    </row>
    <row r="137" ht="15.75" customHeight="1">
      <c r="A137" s="85" t="inlineStr">
        <is>
          <t>Cash and Equiv, End of Yr</t>
        </is>
      </c>
      <c r="B137" s="87" t="n"/>
      <c r="C137" s="87" t="n"/>
      <c r="D137" s="87" t="n"/>
      <c r="E137" s="87" t="n"/>
      <c r="F137" s="87" t="n"/>
      <c r="G137" s="87" t="n"/>
      <c r="H137" s="87" t="n"/>
    </row>
    <row r="138" ht="15.75" customHeight="1"/>
    <row r="139" ht="15.75" customHeight="1"/>
    <row r="140" ht="12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2.75" customHeight="1"/>
    <row r="149" ht="15.75" customHeight="1"/>
    <row r="150" ht="15.75" customHeight="1"/>
    <row r="151" ht="15.75" customHeight="1"/>
    <row r="152" ht="12.75" customHeight="1"/>
    <row r="153" ht="15.75" customHeight="1"/>
    <row r="154" ht="12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2.75" customHeight="1"/>
    <row r="164" ht="15.75" customHeight="1"/>
    <row r="165" ht="15.75" customHeight="1"/>
    <row r="166" ht="15.75" customHeight="1"/>
    <row r="167" ht="15.75" customHeight="1"/>
    <row r="168" ht="12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9">
      <c r="D299" s="152" t="n"/>
      <c r="E299" s="152" t="n"/>
      <c r="F299" s="152" t="n"/>
      <c r="G299" s="152" t="n"/>
      <c r="H299" s="152" t="n"/>
      <c r="I299" s="152" t="n"/>
    </row>
  </sheetData>
  <printOptions gridLines="1"/>
  <pageMargins left="0.5" right="0.5" top="0.5" bottom="0.5" header="0.5" footer="0.5"/>
  <pageSetup orientation="landscape" fitToHeight="2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baseColWidth="8" defaultRowHeight="12.75"/>
  <cols>
    <col width="37" bestFit="1" customWidth="1" style="28" min="1" max="1"/>
    <col width="9.625" customWidth="1" style="28" min="2" max="8"/>
    <col width="9" customWidth="1" style="28" min="9" max="16384"/>
  </cols>
  <sheetData>
    <row r="1" ht="26.25" customHeight="1">
      <c r="A1" s="90">
        <f>'Cover Page'!I2</f>
        <v/>
      </c>
      <c r="E1" s="29" t="n"/>
    </row>
    <row r="2" ht="15.75" customHeight="1">
      <c r="A2" s="89">
        <f>'Cover Page'!I3</f>
        <v/>
      </c>
      <c r="B2" s="82" t="n">
        <v>2021</v>
      </c>
      <c r="C2" s="82" t="n">
        <v>2022</v>
      </c>
      <c r="D2" s="82" t="n">
        <v>2023</v>
      </c>
      <c r="E2" s="82" t="n">
        <v>2024</v>
      </c>
      <c r="F2" s="82" t="n">
        <v>2025</v>
      </c>
      <c r="G2" s="82" t="n">
        <v>2026</v>
      </c>
      <c r="H2" s="82" t="n">
        <v>2027</v>
      </c>
    </row>
    <row r="3" ht="15.75" customHeight="1">
      <c r="A3" s="32" t="n"/>
      <c r="B3" s="83" t="inlineStr">
        <is>
          <t>Actual</t>
        </is>
      </c>
      <c r="C3" s="83" t="inlineStr">
        <is>
          <t>Actual</t>
        </is>
      </c>
      <c r="D3" s="83" t="inlineStr">
        <is>
          <t>Actual</t>
        </is>
      </c>
      <c r="E3" s="83" t="inlineStr">
        <is>
          <t>Actual</t>
        </is>
      </c>
      <c r="F3" s="83" t="inlineStr">
        <is>
          <t>Forecast</t>
        </is>
      </c>
      <c r="G3" s="83" t="inlineStr">
        <is>
          <t>Forecast</t>
        </is>
      </c>
      <c r="H3" s="83" t="inlineStr">
        <is>
          <t>Forecast</t>
        </is>
      </c>
    </row>
    <row r="4" ht="15.75" customHeight="1">
      <c r="B4" s="137" t="n"/>
      <c r="C4" s="137" t="n"/>
      <c r="D4" s="137" t="n"/>
      <c r="E4" s="137" t="n"/>
      <c r="F4" s="137" t="n"/>
      <c r="G4" s="137" t="n"/>
      <c r="H4" s="137" t="n"/>
    </row>
    <row r="5" ht="18" customHeight="1">
      <c r="A5" s="88" t="inlineStr">
        <is>
          <t>Income Statement</t>
        </is>
      </c>
      <c r="B5" s="31" t="n"/>
      <c r="C5" s="31" t="n"/>
      <c r="D5" s="31" t="n"/>
      <c r="E5" s="31" t="n"/>
      <c r="F5" s="31" t="n"/>
      <c r="G5" s="31" t="n"/>
      <c r="H5" s="31" t="n"/>
    </row>
    <row r="6" ht="15.75" customHeight="1">
      <c r="A6" s="28" t="inlineStr">
        <is>
          <t>Sales</t>
        </is>
      </c>
      <c r="B6" s="68" t="n"/>
      <c r="C6" s="68" t="n"/>
      <c r="D6" s="68" t="n"/>
      <c r="E6" s="68" t="n"/>
      <c r="F6" s="68" t="n"/>
      <c r="G6" s="68" t="n"/>
      <c r="H6" s="68" t="n"/>
    </row>
    <row r="7" ht="16.5" customHeight="1" thickBot="1">
      <c r="A7" s="36" t="inlineStr">
        <is>
          <t>Cost of Goods Sold</t>
        </is>
      </c>
      <c r="B7" s="68" t="n"/>
      <c r="C7" s="68" t="n"/>
      <c r="D7" s="68" t="n"/>
      <c r="E7" s="68" t="n"/>
      <c r="F7" s="68" t="n"/>
      <c r="G7" s="68" t="n"/>
      <c r="H7" s="68" t="n"/>
    </row>
    <row r="8" ht="15.75" customHeight="1">
      <c r="A8" s="28" t="inlineStr">
        <is>
          <t>Gross Margin</t>
        </is>
      </c>
      <c r="B8" s="86" t="n"/>
      <c r="C8" s="86" t="n"/>
      <c r="D8" s="86" t="n"/>
      <c r="E8" s="86" t="n"/>
      <c r="F8" s="86" t="n"/>
      <c r="G8" s="86" t="n"/>
      <c r="H8" s="86" t="n"/>
    </row>
    <row r="9" ht="15.75" customHeight="1">
      <c r="B9" s="68" t="n"/>
      <c r="C9" s="68" t="n"/>
      <c r="D9" s="68" t="n"/>
      <c r="E9" s="68" t="n"/>
      <c r="F9" s="68" t="n"/>
      <c r="G9" s="68" t="n"/>
      <c r="H9" s="68" t="n"/>
    </row>
    <row r="10" ht="16.5" customHeight="1" thickBot="1">
      <c r="A10" s="28" t="inlineStr">
        <is>
          <t>Selling, Gen &amp; Adm Expenses</t>
        </is>
      </c>
      <c r="B10" s="68" t="n"/>
      <c r="C10" s="68" t="n"/>
      <c r="D10" s="68" t="n"/>
      <c r="E10" s="68" t="n"/>
      <c r="F10" s="68" t="n"/>
      <c r="G10" s="68" t="n"/>
      <c r="H10" s="68" t="n"/>
    </row>
    <row r="11" ht="15.75" customHeight="1">
      <c r="A11" s="85" t="inlineStr">
        <is>
          <t>EBITDA</t>
        </is>
      </c>
      <c r="B11" s="86" t="n"/>
      <c r="C11" s="86" t="n"/>
      <c r="D11" s="86" t="n"/>
      <c r="E11" s="86" t="n"/>
      <c r="F11" s="86" t="n"/>
      <c r="G11" s="86" t="n"/>
      <c r="H11" s="86" t="n"/>
    </row>
    <row r="12" ht="15.75" customHeight="1">
      <c r="B12" s="68" t="n"/>
      <c r="C12" s="68" t="n"/>
      <c r="D12" s="68" t="n"/>
      <c r="E12" s="68" t="n"/>
      <c r="F12" s="68" t="n"/>
      <c r="G12" s="68" t="n"/>
      <c r="H12" s="68" t="n"/>
    </row>
    <row r="13" ht="16.5" customHeight="1" thickBot="1">
      <c r="A13" s="36" t="inlineStr">
        <is>
          <t>Depreciation</t>
        </is>
      </c>
      <c r="B13" s="65" t="n"/>
      <c r="C13" s="65" t="n"/>
      <c r="D13" s="65" t="n"/>
      <c r="E13" s="65" t="n"/>
      <c r="F13" s="65" t="n"/>
      <c r="G13" s="65" t="n"/>
      <c r="H13" s="65" t="n"/>
    </row>
    <row r="14" ht="15.75" customHeight="1">
      <c r="A14" s="28" t="inlineStr">
        <is>
          <t>EBIT</t>
        </is>
      </c>
      <c r="B14" s="68" t="n"/>
      <c r="C14" s="68" t="n"/>
      <c r="D14" s="68" t="n"/>
      <c r="E14" s="68" t="n"/>
      <c r="F14" s="68" t="n"/>
      <c r="G14" s="68" t="n"/>
      <c r="H14" s="68" t="n"/>
    </row>
    <row r="15" ht="15.75" customHeight="1">
      <c r="B15" s="68" t="n"/>
      <c r="C15" s="68" t="n"/>
      <c r="D15" s="68" t="n"/>
      <c r="E15" s="68" t="n"/>
      <c r="F15" s="68" t="n"/>
      <c r="G15" s="68" t="n"/>
      <c r="H15" s="68" t="n"/>
    </row>
    <row r="16" ht="15.75" customHeight="1">
      <c r="A16" s="28" t="inlineStr">
        <is>
          <t>Interest Expense</t>
        </is>
      </c>
      <c r="B16" s="68" t="n"/>
      <c r="C16" s="68" t="n"/>
      <c r="D16" s="68" t="n"/>
      <c r="E16" s="68" t="n"/>
      <c r="F16" s="68" t="n"/>
      <c r="G16" s="68" t="n"/>
      <c r="H16" s="68" t="n"/>
    </row>
    <row r="17" ht="16.5" customHeight="1" thickBot="1">
      <c r="A17" s="36" t="inlineStr">
        <is>
          <t>Taxes</t>
        </is>
      </c>
      <c r="B17" s="65" t="n"/>
      <c r="C17" s="65" t="n"/>
      <c r="D17" s="65" t="n"/>
      <c r="E17" s="65" t="n"/>
      <c r="F17" s="65" t="n"/>
      <c r="G17" s="65" t="n"/>
      <c r="H17" s="65" t="n"/>
    </row>
    <row r="18" ht="15.75" customHeight="1">
      <c r="A18" s="28" t="inlineStr">
        <is>
          <t>Net Income</t>
        </is>
      </c>
      <c r="B18" s="68" t="n"/>
      <c r="C18" s="68" t="n"/>
      <c r="D18" s="68" t="n"/>
      <c r="E18" s="68" t="n"/>
      <c r="F18" s="68" t="n"/>
      <c r="G18" s="68" t="n"/>
      <c r="H18" s="68" t="n"/>
    </row>
    <row r="19" ht="15.75" customHeight="1">
      <c r="A19" s="28" t="inlineStr">
        <is>
          <t>Shares Outstanding (Millions)</t>
        </is>
      </c>
      <c r="B19" s="68" t="n"/>
      <c r="C19" s="68" t="n"/>
      <c r="D19" s="68" t="n"/>
      <c r="E19" s="68" t="n"/>
      <c r="F19" s="68" t="n"/>
      <c r="G19" s="68" t="n"/>
      <c r="H19" s="68" t="n"/>
    </row>
    <row r="20" ht="15.75" customHeight="1">
      <c r="A20" s="28" t="inlineStr">
        <is>
          <t>Earnings Per Share</t>
        </is>
      </c>
      <c r="B20" s="68" t="n"/>
      <c r="C20" s="68" t="n"/>
      <c r="D20" s="68" t="n"/>
      <c r="E20" s="68" t="n"/>
      <c r="F20" s="68" t="n"/>
      <c r="G20" s="68" t="n"/>
      <c r="H20" s="68" t="n"/>
    </row>
    <row r="21" ht="12.75" customHeight="1">
      <c r="B21" s="68" t="n"/>
      <c r="C21" s="68" t="n"/>
      <c r="D21" s="68" t="n"/>
      <c r="E21" s="68" t="n"/>
      <c r="F21" s="68" t="n"/>
      <c r="G21" s="68" t="n"/>
      <c r="H21" s="68" t="n"/>
    </row>
    <row r="22" ht="15.75" customHeight="1">
      <c r="A22" s="66" t="inlineStr">
        <is>
          <t>Allocation of Net Income:</t>
        </is>
      </c>
      <c r="B22" s="67" t="n"/>
      <c r="C22" s="67" t="n"/>
      <c r="D22" s="67" t="n"/>
      <c r="E22" s="67" t="n"/>
      <c r="F22" s="67" t="n"/>
      <c r="G22" s="67" t="n"/>
      <c r="H22" s="67" t="n"/>
    </row>
    <row r="23" ht="15.75" customHeight="1">
      <c r="A23" s="28" t="inlineStr">
        <is>
          <t>Dividends</t>
        </is>
      </c>
      <c r="B23" s="68" t="n"/>
      <c r="C23" s="68" t="n"/>
      <c r="D23" s="68" t="n"/>
      <c r="E23" s="68" t="n"/>
      <c r="F23" s="68" t="n"/>
      <c r="G23" s="68" t="n"/>
      <c r="H23" s="68" t="n"/>
    </row>
    <row r="24" ht="15.75" customHeight="1">
      <c r="A24" s="28" t="inlineStr">
        <is>
          <t>Change in Equity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2.75" customHeight="1">
      <c r="B25" s="56" t="n"/>
      <c r="C25" s="68" t="n"/>
      <c r="D25" s="68" t="n"/>
      <c r="E25" s="68" t="n"/>
      <c r="F25" s="68" t="n"/>
      <c r="G25" s="68" t="n"/>
      <c r="H25" s="68" t="n"/>
    </row>
    <row r="26" ht="18" customHeight="1">
      <c r="A26" s="88" t="inlineStr">
        <is>
          <t>Balance Sheet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>
      <c r="A27" s="49" t="inlineStr">
        <is>
          <t>Assets</t>
        </is>
      </c>
    </row>
    <row r="28" ht="15.75" customHeight="1">
      <c r="A28" s="28" t="inlineStr">
        <is>
          <t>Current Assets</t>
        </is>
      </c>
      <c r="B28" s="56" t="n"/>
      <c r="C28" s="68" t="n"/>
      <c r="D28" s="68" t="n"/>
      <c r="E28" s="68" t="n"/>
      <c r="F28" s="68" t="n"/>
      <c r="G28" s="68" t="n"/>
      <c r="H28" s="68" t="n"/>
    </row>
    <row r="29" ht="15.75" customHeight="1">
      <c r="A29" s="28" t="inlineStr">
        <is>
          <t xml:space="preserve">   Cash &amp; Equivalents</t>
        </is>
      </c>
    </row>
    <row r="30" ht="15.75" customHeight="1">
      <c r="A30" s="28" t="inlineStr">
        <is>
          <t xml:space="preserve">   Receivables</t>
        </is>
      </c>
    </row>
    <row r="31" ht="16.5" customHeight="1" thickBot="1">
      <c r="A31" s="36" t="inlineStr">
        <is>
          <t xml:space="preserve">   Inventories</t>
        </is>
      </c>
    </row>
    <row r="32" ht="15.75" customHeight="1">
      <c r="A32" s="28" t="inlineStr">
        <is>
          <t>Total Current Assets</t>
        </is>
      </c>
      <c r="B32" s="87" t="n"/>
      <c r="C32" s="87" t="n"/>
      <c r="D32" s="87" t="n"/>
      <c r="E32" s="87" t="n"/>
      <c r="F32" s="87" t="n"/>
      <c r="G32" s="87" t="n"/>
      <c r="H32" s="87" t="n"/>
    </row>
    <row r="33" ht="12.75" customHeight="1"/>
    <row r="34" ht="15.75" customHeight="1">
      <c r="A34" s="28" t="inlineStr">
        <is>
          <t>Property, Plant &amp; Equip. (PPE)</t>
        </is>
      </c>
    </row>
    <row r="35" ht="16.5" customHeight="1" thickBot="1">
      <c r="A35" s="36" t="inlineStr">
        <is>
          <t xml:space="preserve">   Accum Depreciation</t>
        </is>
      </c>
    </row>
    <row r="36" ht="15.75" customHeight="1">
      <c r="A36" s="28" t="inlineStr">
        <is>
          <t>Net PPE</t>
        </is>
      </c>
      <c r="B36" s="87" t="n"/>
      <c r="C36" s="87" t="n"/>
      <c r="D36" s="87" t="n"/>
      <c r="E36" s="87" t="n"/>
      <c r="F36" s="87" t="n"/>
      <c r="G36" s="87" t="n"/>
      <c r="H36" s="87" t="n"/>
    </row>
    <row r="37" ht="12.75" customHeight="1"/>
    <row r="38" ht="15.75" customHeight="1">
      <c r="A38" s="28" t="inlineStr">
        <is>
          <t>Total Assets</t>
        </is>
      </c>
    </row>
    <row r="39" ht="12.75" customHeight="1"/>
    <row r="40" ht="15.75" customHeight="1">
      <c r="A40" s="49" t="inlineStr">
        <is>
          <t>Liabilities and Shareholders' Equity</t>
        </is>
      </c>
    </row>
    <row r="41" ht="15.75" customHeight="1">
      <c r="A41" s="28" t="inlineStr">
        <is>
          <t>Current Liabilities</t>
        </is>
      </c>
    </row>
    <row r="42" ht="15.75" customHeight="1">
      <c r="A42" s="28" t="inlineStr">
        <is>
          <t xml:space="preserve">   Accounts Payable</t>
        </is>
      </c>
    </row>
    <row r="43" ht="16.5" customHeight="1" thickBot="1">
      <c r="A43" s="36" t="inlineStr">
        <is>
          <t xml:space="preserve">   Short-term Debt</t>
        </is>
      </c>
    </row>
    <row r="44" ht="15.75" customHeight="1">
      <c r="A44" s="28" t="inlineStr">
        <is>
          <t>Total Current Liabilities</t>
        </is>
      </c>
      <c r="B44" s="87" t="n"/>
      <c r="C44" s="87" t="n"/>
      <c r="D44" s="87" t="n"/>
      <c r="E44" s="87" t="n"/>
      <c r="F44" s="87" t="n"/>
      <c r="G44" s="87" t="n"/>
      <c r="H44" s="87" t="n"/>
    </row>
    <row r="45" ht="15.75" customHeight="1"/>
    <row r="46" ht="16.5" customHeight="1" thickBot="1">
      <c r="A46" s="36" t="inlineStr">
        <is>
          <t>Long-term Debt</t>
        </is>
      </c>
    </row>
    <row r="47" ht="15.75" customHeight="1">
      <c r="A47" s="28" t="inlineStr">
        <is>
          <t>Total Liabilities</t>
        </is>
      </c>
      <c r="B47" s="87" t="n"/>
      <c r="C47" s="87" t="n"/>
      <c r="D47" s="87" t="n"/>
      <c r="E47" s="87" t="n"/>
      <c r="F47" s="87" t="n"/>
      <c r="G47" s="87" t="n"/>
      <c r="H47" s="87" t="n"/>
    </row>
    <row r="48" ht="12.75" customHeight="1"/>
    <row r="49" ht="15.75" customHeight="1">
      <c r="A49" s="28" t="inlineStr">
        <is>
          <t>Shareholders' Equity</t>
        </is>
      </c>
    </row>
    <row r="50" ht="15.75" customHeight="1">
      <c r="A50" s="28" t="inlineStr">
        <is>
          <t xml:space="preserve">   Paid-in Capital</t>
        </is>
      </c>
    </row>
    <row r="51" ht="16.5" customHeight="1" thickBot="1">
      <c r="A51" s="36" t="inlineStr">
        <is>
          <t xml:space="preserve">   Retained Earnings</t>
        </is>
      </c>
    </row>
    <row r="52" ht="15.75" customHeight="1">
      <c r="A52" s="28" t="inlineStr">
        <is>
          <t>Total Shareholders' Equity</t>
        </is>
      </c>
      <c r="B52" s="87" t="n"/>
      <c r="C52" s="87" t="n"/>
      <c r="D52" s="87" t="n"/>
      <c r="E52" s="87" t="n"/>
      <c r="F52" s="87" t="n"/>
      <c r="G52" s="87" t="n"/>
      <c r="H52" s="87" t="n"/>
    </row>
    <row r="53" ht="12" customHeight="1"/>
    <row r="54" ht="15.75" customHeight="1">
      <c r="A54" s="28" t="inlineStr">
        <is>
          <t>Total Liabilities and Equity</t>
        </is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B65" s="137" t="n"/>
      <c r="C65" s="153" t="n"/>
      <c r="D65" s="153" t="n"/>
      <c r="E65" s="153" t="n"/>
      <c r="F65" s="153" t="n"/>
      <c r="G65" s="153" t="n"/>
      <c r="H65" s="153" t="n"/>
    </row>
    <row r="66" ht="15.75" customHeight="1">
      <c r="B66" s="137" t="n"/>
      <c r="C66" s="153" t="n"/>
      <c r="D66" s="153" t="n"/>
      <c r="E66" s="153" t="n"/>
      <c r="F66" s="153" t="n"/>
      <c r="G66" s="153" t="n"/>
      <c r="H66" s="153" t="n"/>
    </row>
    <row r="67" ht="15.75" customHeight="1">
      <c r="B67" s="137" t="n"/>
      <c r="C67" s="153" t="n"/>
      <c r="D67" s="153" t="n"/>
      <c r="E67" s="153" t="n"/>
      <c r="F67" s="153" t="n"/>
      <c r="G67" s="153" t="n"/>
      <c r="H67" s="153" t="n"/>
    </row>
    <row r="68" ht="15.75" customHeight="1">
      <c r="B68" s="137" t="n"/>
      <c r="C68" s="153" t="n"/>
      <c r="D68" s="153" t="n"/>
      <c r="E68" s="153" t="n"/>
      <c r="F68" s="153" t="n"/>
      <c r="G68" s="153" t="n"/>
      <c r="H68" s="153" t="n"/>
    </row>
    <row r="69" ht="15.75" customHeight="1">
      <c r="B69" s="137" t="n"/>
      <c r="C69" s="153" t="n"/>
      <c r="D69" s="153" t="n"/>
      <c r="E69" s="153" t="n"/>
      <c r="F69" s="153" t="n"/>
      <c r="G69" s="153" t="n"/>
      <c r="H69" s="153" t="n"/>
    </row>
    <row r="70" ht="15.75" customHeight="1">
      <c r="B70" s="137" t="n"/>
      <c r="C70" s="153" t="n"/>
      <c r="D70" s="153" t="n"/>
      <c r="E70" s="153" t="n"/>
      <c r="F70" s="153" t="n"/>
      <c r="G70" s="153" t="n"/>
      <c r="H70" s="153" t="n"/>
    </row>
    <row r="71" ht="15.75" customHeight="1">
      <c r="B71" s="137" t="n"/>
      <c r="C71" s="153" t="n"/>
      <c r="D71" s="153" t="n"/>
      <c r="E71" s="153" t="n"/>
      <c r="F71" s="153" t="n"/>
      <c r="G71" s="153" t="n"/>
      <c r="H71" s="153" t="n"/>
    </row>
    <row r="72" ht="15.75" customHeight="1">
      <c r="B72" s="137" t="n"/>
      <c r="C72" s="153" t="n"/>
      <c r="D72" s="153" t="n"/>
      <c r="E72" s="153" t="n"/>
      <c r="F72" s="153" t="n"/>
      <c r="G72" s="153" t="n"/>
      <c r="H72" s="153" t="n"/>
    </row>
    <row r="73" ht="15.75" customHeight="1">
      <c r="B73" s="137" t="n"/>
      <c r="C73" s="153" t="n"/>
      <c r="D73" s="153" t="n"/>
      <c r="E73" s="153" t="n"/>
      <c r="F73" s="153" t="n"/>
      <c r="G73" s="153" t="n"/>
      <c r="H73" s="153" t="n"/>
    </row>
    <row r="74" ht="15.75" customHeight="1">
      <c r="B74" s="137" t="n"/>
      <c r="C74" s="153" t="n"/>
      <c r="D74" s="153" t="n"/>
      <c r="E74" s="153" t="n"/>
      <c r="F74" s="153" t="n"/>
      <c r="G74" s="153" t="n"/>
      <c r="H74" s="153" t="n"/>
    </row>
    <row r="75" ht="15.75" customHeight="1">
      <c r="B75" s="137" t="n"/>
      <c r="C75" s="153" t="n"/>
      <c r="D75" s="153" t="n"/>
      <c r="E75" s="153" t="n"/>
      <c r="F75" s="153" t="n"/>
      <c r="G75" s="153" t="n"/>
      <c r="H75" s="153" t="n"/>
    </row>
    <row r="76" ht="15.75" customHeight="1">
      <c r="B76" s="137" t="n"/>
      <c r="C76" s="153" t="n"/>
      <c r="D76" s="153" t="n"/>
      <c r="E76" s="153" t="n"/>
      <c r="F76" s="153" t="n"/>
      <c r="G76" s="153" t="n"/>
      <c r="H76" s="153" t="n"/>
    </row>
    <row r="77" ht="15.75" customHeight="1">
      <c r="B77" s="137" t="n"/>
      <c r="C77" s="153" t="n"/>
      <c r="D77" s="153" t="n"/>
      <c r="E77" s="153" t="n"/>
      <c r="F77" s="153" t="n"/>
      <c r="G77" s="153" t="n"/>
      <c r="H77" s="153" t="n"/>
    </row>
    <row r="78" ht="15.75" customHeight="1">
      <c r="B78" s="137" t="n"/>
      <c r="C78" s="153" t="n"/>
      <c r="D78" s="153" t="n"/>
      <c r="E78" s="153" t="n"/>
      <c r="F78" s="153" t="n"/>
      <c r="G78" s="153" t="n"/>
      <c r="H78" s="153" t="n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50">
      <c r="D150" s="152" t="n"/>
      <c r="E150" s="152" t="n"/>
      <c r="F150" s="152" t="n"/>
      <c r="G150" s="152" t="n"/>
      <c r="H150" s="152" t="n"/>
    </row>
  </sheetData>
  <printOptions gridLines="1"/>
  <pageMargins left="0.5" right="0.5" top="0.5" bottom="0.5" header="0.5" footer="0.5"/>
  <pageSetup orientation="landscape" fitToHeight="2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baseColWidth="8" defaultRowHeight="12.75"/>
  <cols>
    <col width="41.125" bestFit="1" customWidth="1" style="28" min="1" max="1"/>
    <col width="9.625" customWidth="1" style="28" min="2" max="8"/>
    <col width="9" customWidth="1" style="28" min="9" max="16384"/>
  </cols>
  <sheetData>
    <row r="1" ht="26.25" customHeight="1">
      <c r="A1" s="90">
        <f>'Cover Page'!I2</f>
        <v/>
      </c>
      <c r="E1" s="29" t="n"/>
    </row>
    <row r="2" ht="15.75" customHeight="1">
      <c r="A2" s="89">
        <f>'Cover Page'!I3</f>
        <v/>
      </c>
      <c r="B2" s="82" t="n">
        <v>2021</v>
      </c>
      <c r="C2" s="82" t="n">
        <v>2022</v>
      </c>
      <c r="D2" s="82" t="n">
        <v>2023</v>
      </c>
      <c r="E2" s="82" t="n">
        <v>2024</v>
      </c>
      <c r="F2" s="82" t="n">
        <v>2025</v>
      </c>
      <c r="G2" s="82" t="n">
        <v>2026</v>
      </c>
      <c r="H2" s="82" t="n">
        <v>2027</v>
      </c>
    </row>
    <row r="3" ht="15.75" customHeight="1">
      <c r="A3" s="32" t="n"/>
      <c r="B3" s="83" t="inlineStr">
        <is>
          <t>Actual</t>
        </is>
      </c>
      <c r="C3" s="83" t="inlineStr">
        <is>
          <t>Actual</t>
        </is>
      </c>
      <c r="D3" s="83" t="inlineStr">
        <is>
          <t>Actual</t>
        </is>
      </c>
      <c r="E3" s="83" t="inlineStr">
        <is>
          <t>Actual</t>
        </is>
      </c>
      <c r="F3" s="83" t="inlineStr">
        <is>
          <t>Forecast</t>
        </is>
      </c>
      <c r="G3" s="83" t="inlineStr">
        <is>
          <t>Forecast</t>
        </is>
      </c>
      <c r="H3" s="83" t="inlineStr">
        <is>
          <t>Forecast</t>
        </is>
      </c>
    </row>
    <row r="4" ht="15.75" customHeight="1">
      <c r="B4" s="137" t="n"/>
      <c r="C4" s="137" t="n"/>
      <c r="D4" s="137" t="n"/>
      <c r="E4" s="137" t="n"/>
      <c r="F4" s="137" t="n"/>
      <c r="G4" s="137" t="n"/>
      <c r="H4" s="137" t="n"/>
    </row>
    <row r="5" ht="18" customHeight="1">
      <c r="A5" s="88" t="inlineStr">
        <is>
          <t>Income Statement (%age of Sales)</t>
        </is>
      </c>
      <c r="B5" s="31" t="n"/>
      <c r="C5" s="31" t="n"/>
      <c r="D5" s="31" t="n"/>
      <c r="E5" s="31" t="n"/>
      <c r="F5" s="31" t="n"/>
      <c r="G5" s="31" t="n"/>
      <c r="H5" s="31" t="n"/>
    </row>
    <row r="6" ht="15.75" customHeight="1">
      <c r="A6" s="28" t="inlineStr">
        <is>
          <t>Sales</t>
        </is>
      </c>
      <c r="B6" s="68" t="n"/>
      <c r="C6" s="68" t="n"/>
      <c r="D6" s="68" t="n"/>
      <c r="E6" s="68" t="n"/>
      <c r="F6" s="68" t="n"/>
      <c r="G6" s="68" t="n"/>
      <c r="H6" s="68" t="n"/>
    </row>
    <row r="7" ht="16.5" customHeight="1" thickBot="1">
      <c r="A7" s="36" t="inlineStr">
        <is>
          <t>Cost of Goods Sold</t>
        </is>
      </c>
      <c r="B7" s="68" t="n"/>
      <c r="C7" s="68" t="n"/>
      <c r="D7" s="68" t="n"/>
      <c r="E7" s="68" t="n"/>
      <c r="F7" s="68" t="n"/>
      <c r="G7" s="68" t="n"/>
      <c r="H7" s="68" t="n"/>
    </row>
    <row r="8" ht="15.75" customHeight="1">
      <c r="A8" s="28" t="inlineStr">
        <is>
          <t>Gross Margin</t>
        </is>
      </c>
      <c r="B8" s="86" t="n"/>
      <c r="C8" s="86" t="n"/>
      <c r="D8" s="86" t="n"/>
      <c r="E8" s="86" t="n"/>
      <c r="F8" s="86" t="n"/>
      <c r="G8" s="86" t="n"/>
      <c r="H8" s="86" t="n"/>
    </row>
    <row r="9" ht="15.75" customHeight="1">
      <c r="B9" s="68" t="n"/>
      <c r="C9" s="68" t="n"/>
      <c r="D9" s="68" t="n"/>
      <c r="E9" s="68" t="n"/>
      <c r="F9" s="68" t="n"/>
      <c r="G9" s="68" t="n"/>
      <c r="H9" s="68" t="n"/>
    </row>
    <row r="10" ht="16.5" customHeight="1" thickBot="1">
      <c r="A10" s="28" t="inlineStr">
        <is>
          <t>Selling, Gen &amp; Adm Expenses</t>
        </is>
      </c>
      <c r="B10" s="68" t="n"/>
      <c r="C10" s="68" t="n"/>
      <c r="D10" s="68" t="n"/>
      <c r="E10" s="68" t="n"/>
      <c r="F10" s="68" t="n"/>
      <c r="G10" s="68" t="n"/>
      <c r="H10" s="68" t="n"/>
    </row>
    <row r="11" ht="15.75" customHeight="1">
      <c r="A11" s="85" t="inlineStr">
        <is>
          <t>EBITDA</t>
        </is>
      </c>
      <c r="B11" s="86" t="n"/>
      <c r="C11" s="86" t="n"/>
      <c r="D11" s="86" t="n"/>
      <c r="E11" s="86" t="n"/>
      <c r="F11" s="86" t="n"/>
      <c r="G11" s="86" t="n"/>
      <c r="H11" s="86" t="n"/>
    </row>
    <row r="12" ht="15.75" customHeight="1">
      <c r="B12" s="68" t="n"/>
      <c r="C12" s="68" t="n"/>
      <c r="D12" s="68" t="n"/>
      <c r="E12" s="68" t="n"/>
      <c r="F12" s="68" t="n"/>
      <c r="G12" s="68" t="n"/>
      <c r="H12" s="68" t="n"/>
    </row>
    <row r="13" ht="16.5" customHeight="1" thickBot="1">
      <c r="A13" s="36" t="inlineStr">
        <is>
          <t>Depreciation</t>
        </is>
      </c>
      <c r="B13" s="65" t="n"/>
      <c r="C13" s="65" t="n"/>
      <c r="D13" s="65" t="n"/>
      <c r="E13" s="65" t="n"/>
      <c r="F13" s="65" t="n"/>
      <c r="G13" s="65" t="n"/>
      <c r="H13" s="65" t="n"/>
    </row>
    <row r="14" ht="15.75" customHeight="1">
      <c r="A14" s="28" t="inlineStr">
        <is>
          <t>EBIT</t>
        </is>
      </c>
      <c r="B14" s="68" t="n"/>
      <c r="C14" s="68" t="n"/>
      <c r="D14" s="68" t="n"/>
      <c r="E14" s="68" t="n"/>
      <c r="F14" s="68" t="n"/>
      <c r="G14" s="68" t="n"/>
      <c r="H14" s="68" t="n"/>
    </row>
    <row r="15" ht="15.75" customHeight="1">
      <c r="B15" s="68" t="n"/>
      <c r="C15" s="68" t="n"/>
      <c r="D15" s="68" t="n"/>
      <c r="E15" s="68" t="n"/>
      <c r="F15" s="68" t="n"/>
      <c r="G15" s="68" t="n"/>
      <c r="H15" s="68" t="n"/>
    </row>
    <row r="16" ht="15.75" customHeight="1">
      <c r="A16" s="28" t="inlineStr">
        <is>
          <t>Interest Expense</t>
        </is>
      </c>
      <c r="B16" s="68" t="n"/>
      <c r="C16" s="68" t="n"/>
      <c r="D16" s="68" t="n"/>
      <c r="E16" s="68" t="n"/>
      <c r="F16" s="68" t="n"/>
      <c r="G16" s="68" t="n"/>
      <c r="H16" s="68" t="n"/>
    </row>
    <row r="17" ht="16.5" customHeight="1" thickBot="1">
      <c r="A17" s="36" t="inlineStr">
        <is>
          <t>Taxes</t>
        </is>
      </c>
      <c r="B17" s="65" t="n"/>
      <c r="C17" s="65" t="n"/>
      <c r="D17" s="65" t="n"/>
      <c r="E17" s="65" t="n"/>
      <c r="F17" s="65" t="n"/>
      <c r="G17" s="65" t="n"/>
      <c r="H17" s="65" t="n"/>
    </row>
    <row r="18" ht="15.75" customHeight="1">
      <c r="A18" s="28" t="inlineStr">
        <is>
          <t>Net Income</t>
        </is>
      </c>
      <c r="B18" s="68" t="n"/>
      <c r="C18" s="68" t="n"/>
      <c r="D18" s="68" t="n"/>
      <c r="E18" s="68" t="n"/>
      <c r="F18" s="68" t="n"/>
      <c r="G18" s="68" t="n"/>
      <c r="H18" s="68" t="n"/>
    </row>
    <row r="19" ht="15.75" customHeight="1">
      <c r="A19" s="28" t="inlineStr">
        <is>
          <t>Shares Outstanding (Millions)</t>
        </is>
      </c>
      <c r="B19" s="68" t="n"/>
      <c r="C19" s="68" t="n"/>
      <c r="D19" s="68" t="n"/>
      <c r="E19" s="68" t="n"/>
      <c r="F19" s="68" t="n"/>
      <c r="G19" s="68" t="n"/>
      <c r="H19" s="68" t="n"/>
    </row>
    <row r="20" ht="15.75" customHeight="1">
      <c r="A20" s="28" t="inlineStr">
        <is>
          <t>Earnings Per Share</t>
        </is>
      </c>
      <c r="B20" s="68" t="n"/>
      <c r="C20" s="68" t="n"/>
      <c r="D20" s="68" t="n"/>
      <c r="E20" s="68" t="n"/>
      <c r="F20" s="68" t="n"/>
      <c r="G20" s="68" t="n"/>
      <c r="H20" s="68" t="n"/>
    </row>
    <row r="21" ht="12.75" customHeight="1">
      <c r="B21" s="68" t="n"/>
      <c r="C21" s="68" t="n"/>
      <c r="D21" s="68" t="n"/>
      <c r="E21" s="68" t="n"/>
      <c r="F21" s="68" t="n"/>
      <c r="G21" s="68" t="n"/>
      <c r="H21" s="68" t="n"/>
    </row>
    <row r="22" ht="15.75" customHeight="1">
      <c r="A22" s="66" t="inlineStr">
        <is>
          <t>Allocation of Net Income:</t>
        </is>
      </c>
      <c r="B22" s="67" t="n"/>
      <c r="C22" s="67" t="n"/>
      <c r="D22" s="67" t="n"/>
      <c r="E22" s="67" t="n"/>
      <c r="F22" s="67" t="n"/>
      <c r="G22" s="67" t="n"/>
      <c r="H22" s="67" t="n"/>
    </row>
    <row r="23" ht="15.75" customHeight="1">
      <c r="A23" s="28" t="inlineStr">
        <is>
          <t>Dividends</t>
        </is>
      </c>
      <c r="B23" s="68" t="n"/>
      <c r="C23" s="68" t="n"/>
      <c r="D23" s="68" t="n"/>
      <c r="E23" s="68" t="n"/>
      <c r="F23" s="68" t="n"/>
      <c r="G23" s="68" t="n"/>
      <c r="H23" s="68" t="n"/>
    </row>
    <row r="24" ht="15.75" customHeight="1">
      <c r="A24" s="28" t="inlineStr">
        <is>
          <t>Change in Equity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2.75" customHeight="1">
      <c r="B25" s="56" t="n"/>
      <c r="C25" s="68" t="n"/>
      <c r="D25" s="68" t="n"/>
      <c r="E25" s="68" t="n"/>
      <c r="F25" s="68" t="n"/>
      <c r="G25" s="68" t="n"/>
      <c r="H25" s="68" t="n"/>
    </row>
    <row r="26" ht="18" customHeight="1">
      <c r="A26" s="88" t="inlineStr">
        <is>
          <t>Balance Sheet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>
      <c r="A27" s="49" t="inlineStr">
        <is>
          <t>Assets</t>
        </is>
      </c>
    </row>
    <row r="28" ht="15.75" customHeight="1">
      <c r="A28" s="28" t="inlineStr">
        <is>
          <t>Current Assets</t>
        </is>
      </c>
      <c r="B28" s="56" t="n"/>
      <c r="C28" s="68" t="n"/>
      <c r="D28" s="68" t="n"/>
      <c r="E28" s="68" t="n"/>
      <c r="F28" s="68" t="n"/>
      <c r="G28" s="68" t="n"/>
      <c r="H28" s="68" t="n"/>
    </row>
    <row r="29" ht="15.75" customHeight="1">
      <c r="A29" s="28" t="inlineStr">
        <is>
          <t xml:space="preserve">   Cash &amp; Equivalents</t>
        </is>
      </c>
    </row>
    <row r="30" ht="15.75" customHeight="1">
      <c r="A30" s="28" t="inlineStr">
        <is>
          <t xml:space="preserve">   Receivables</t>
        </is>
      </c>
    </row>
    <row r="31" ht="16.5" customHeight="1" thickBot="1">
      <c r="A31" s="36" t="inlineStr">
        <is>
          <t xml:space="preserve">   Inventories</t>
        </is>
      </c>
    </row>
    <row r="32" ht="15.75" customHeight="1">
      <c r="A32" s="28" t="inlineStr">
        <is>
          <t>Total Current Assets</t>
        </is>
      </c>
      <c r="B32" s="87" t="n"/>
      <c r="C32" s="87" t="n"/>
      <c r="D32" s="87" t="n"/>
      <c r="E32" s="87" t="n"/>
      <c r="F32" s="87" t="n"/>
      <c r="G32" s="87" t="n"/>
      <c r="H32" s="87" t="n"/>
    </row>
    <row r="33" ht="12.75" customHeight="1"/>
    <row r="34" ht="15.75" customHeight="1">
      <c r="A34" s="28" t="inlineStr">
        <is>
          <t>Property, Plant &amp; Equip. (PPE)</t>
        </is>
      </c>
    </row>
    <row r="35" ht="16.5" customHeight="1" thickBot="1">
      <c r="A35" s="36" t="inlineStr">
        <is>
          <t xml:space="preserve">   Accum Depreciation</t>
        </is>
      </c>
    </row>
    <row r="36" ht="15.75" customHeight="1">
      <c r="A36" s="28" t="inlineStr">
        <is>
          <t>Net PPE</t>
        </is>
      </c>
      <c r="B36" s="87" t="n"/>
      <c r="C36" s="87" t="n"/>
      <c r="D36" s="87" t="n"/>
      <c r="E36" s="87" t="n"/>
      <c r="F36" s="87" t="n"/>
      <c r="G36" s="87" t="n"/>
      <c r="H36" s="87" t="n"/>
    </row>
    <row r="37" ht="12.75" customHeight="1"/>
    <row r="38" ht="15.75" customHeight="1">
      <c r="A38" s="28" t="inlineStr">
        <is>
          <t>Total Assets</t>
        </is>
      </c>
    </row>
    <row r="39" ht="12.75" customHeight="1"/>
    <row r="40" ht="15.75" customHeight="1">
      <c r="A40" s="49" t="inlineStr">
        <is>
          <t>Liabilities and Shareholders' Equity</t>
        </is>
      </c>
    </row>
    <row r="41" ht="15.75" customHeight="1">
      <c r="A41" s="28" t="inlineStr">
        <is>
          <t>Current Liabilities</t>
        </is>
      </c>
    </row>
    <row r="42" ht="15.75" customHeight="1">
      <c r="A42" s="28" t="inlineStr">
        <is>
          <t xml:space="preserve">   Accounts Payable</t>
        </is>
      </c>
    </row>
    <row r="43" ht="16.5" customHeight="1" thickBot="1">
      <c r="A43" s="36" t="inlineStr">
        <is>
          <t xml:space="preserve">   Short-term Debt</t>
        </is>
      </c>
    </row>
    <row r="44" ht="15.75" customHeight="1">
      <c r="A44" s="28" t="inlineStr">
        <is>
          <t>Total Current Liabilities</t>
        </is>
      </c>
      <c r="B44" s="87" t="n"/>
      <c r="C44" s="87" t="n"/>
      <c r="D44" s="87" t="n"/>
      <c r="E44" s="87" t="n"/>
      <c r="F44" s="87" t="n"/>
      <c r="G44" s="87" t="n"/>
      <c r="H44" s="87" t="n"/>
    </row>
    <row r="45" ht="15.75" customHeight="1"/>
    <row r="46" ht="16.5" customHeight="1" thickBot="1">
      <c r="A46" s="36" t="inlineStr">
        <is>
          <t>Long-term Debt</t>
        </is>
      </c>
    </row>
    <row r="47" ht="15.75" customHeight="1">
      <c r="A47" s="28" t="inlineStr">
        <is>
          <t>Total Liabilities</t>
        </is>
      </c>
      <c r="B47" s="87" t="n"/>
      <c r="C47" s="87" t="n"/>
      <c r="D47" s="87" t="n"/>
      <c r="E47" s="87" t="n"/>
      <c r="F47" s="87" t="n"/>
      <c r="G47" s="87" t="n"/>
      <c r="H47" s="87" t="n"/>
    </row>
    <row r="48" ht="12.75" customHeight="1"/>
    <row r="49" ht="15.75" customHeight="1">
      <c r="A49" s="28" t="inlineStr">
        <is>
          <t>Shareholders' Equity</t>
        </is>
      </c>
    </row>
    <row r="50" ht="15.75" customHeight="1">
      <c r="A50" s="28" t="inlineStr">
        <is>
          <t xml:space="preserve">   Paid-in Capital</t>
        </is>
      </c>
    </row>
    <row r="51" ht="16.5" customHeight="1" thickBot="1">
      <c r="A51" s="36" t="inlineStr">
        <is>
          <t xml:space="preserve">   Retained Earnings</t>
        </is>
      </c>
    </row>
    <row r="52" ht="15.75" customHeight="1">
      <c r="A52" s="28" t="inlineStr">
        <is>
          <t>Total Shareholders' Equity</t>
        </is>
      </c>
      <c r="B52" s="87" t="n"/>
      <c r="C52" s="87" t="n"/>
      <c r="D52" s="87" t="n"/>
      <c r="E52" s="87" t="n"/>
      <c r="F52" s="87" t="n"/>
      <c r="G52" s="87" t="n"/>
      <c r="H52" s="87" t="n"/>
    </row>
    <row r="53" ht="12" customHeight="1"/>
    <row r="54" ht="15.75" customHeight="1">
      <c r="A54" s="28" t="inlineStr">
        <is>
          <t>Total Liabilities and Equity</t>
        </is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B60" s="137" t="n"/>
      <c r="C60" s="153" t="n"/>
      <c r="D60" s="153" t="n"/>
      <c r="E60" s="153" t="n"/>
      <c r="F60" s="153" t="n"/>
      <c r="G60" s="153" t="n"/>
      <c r="H60" s="153" t="n"/>
    </row>
    <row r="61" ht="15.75" customHeight="1">
      <c r="B61" s="137" t="n"/>
      <c r="C61" s="153" t="n"/>
      <c r="D61" s="153" t="n"/>
      <c r="E61" s="153" t="n"/>
      <c r="F61" s="153" t="n"/>
      <c r="G61" s="153" t="n"/>
      <c r="H61" s="153" t="n"/>
    </row>
    <row r="62" ht="15.75" customHeight="1">
      <c r="B62" s="137" t="n"/>
      <c r="C62" s="153" t="n"/>
      <c r="D62" s="153" t="n"/>
      <c r="E62" s="153" t="n"/>
      <c r="F62" s="153" t="n"/>
      <c r="G62" s="153" t="n"/>
      <c r="H62" s="153" t="n"/>
    </row>
    <row r="63" ht="15.75" customHeight="1">
      <c r="B63" s="137" t="n"/>
      <c r="C63" s="153" t="n"/>
      <c r="D63" s="153" t="n"/>
      <c r="E63" s="153" t="n"/>
      <c r="F63" s="153" t="n"/>
      <c r="G63" s="153" t="n"/>
      <c r="H63" s="153" t="n"/>
    </row>
    <row r="64" ht="15.75" customHeight="1">
      <c r="B64" s="137" t="n"/>
      <c r="C64" s="153" t="n"/>
      <c r="D64" s="153" t="n"/>
      <c r="E64" s="153" t="n"/>
      <c r="F64" s="153" t="n"/>
      <c r="G64" s="153" t="n"/>
      <c r="H64" s="153" t="n"/>
    </row>
    <row r="65" ht="15.75" customHeight="1">
      <c r="B65" s="137" t="n"/>
      <c r="C65" s="153" t="n"/>
      <c r="D65" s="153" t="n"/>
      <c r="E65" s="153" t="n"/>
      <c r="F65" s="153" t="n"/>
      <c r="G65" s="153" t="n"/>
      <c r="H65" s="153" t="n"/>
    </row>
    <row r="66" ht="15.75" customHeight="1">
      <c r="B66" s="137" t="n"/>
      <c r="C66" s="153" t="n"/>
      <c r="D66" s="153" t="n"/>
      <c r="E66" s="153" t="n"/>
      <c r="F66" s="153" t="n"/>
      <c r="G66" s="153" t="n"/>
      <c r="H66" s="153" t="n"/>
    </row>
    <row r="67" ht="15.75" customHeight="1">
      <c r="B67" s="137" t="n"/>
      <c r="C67" s="153" t="n"/>
      <c r="D67" s="153" t="n"/>
      <c r="E67" s="153" t="n"/>
      <c r="F67" s="153" t="n"/>
      <c r="G67" s="153" t="n"/>
      <c r="H67" s="153" t="n"/>
    </row>
    <row r="68" ht="15.75" customHeight="1">
      <c r="B68" s="137" t="n"/>
      <c r="C68" s="153" t="n"/>
      <c r="D68" s="153" t="n"/>
      <c r="E68" s="153" t="n"/>
      <c r="F68" s="153" t="n"/>
      <c r="G68" s="153" t="n"/>
      <c r="H68" s="153" t="n"/>
    </row>
    <row r="69" ht="15.75" customHeight="1">
      <c r="B69" s="137" t="n"/>
      <c r="C69" s="153" t="n"/>
      <c r="D69" s="153" t="n"/>
      <c r="E69" s="153" t="n"/>
      <c r="F69" s="153" t="n"/>
      <c r="G69" s="153" t="n"/>
      <c r="H69" s="153" t="n"/>
    </row>
    <row r="70" ht="15.75" customHeight="1">
      <c r="B70" s="137" t="n"/>
      <c r="C70" s="153" t="n"/>
      <c r="D70" s="153" t="n"/>
      <c r="E70" s="153" t="n"/>
      <c r="F70" s="153" t="n"/>
      <c r="G70" s="153" t="n"/>
      <c r="H70" s="153" t="n"/>
    </row>
    <row r="71" ht="15.75" customHeight="1">
      <c r="B71" s="137" t="n"/>
      <c r="C71" s="153" t="n"/>
      <c r="D71" s="153" t="n"/>
      <c r="E71" s="153" t="n"/>
      <c r="F71" s="153" t="n"/>
      <c r="G71" s="153" t="n"/>
      <c r="H71" s="153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3">
      <c r="D143" s="152" t="n"/>
      <c r="E143" s="152" t="n"/>
      <c r="F143" s="152" t="n"/>
      <c r="G143" s="152" t="n"/>
      <c r="H143" s="152" t="n"/>
    </row>
  </sheetData>
  <printOptions gridLines="1"/>
  <pageMargins left="0.5" right="0.5" top="0.5" bottom="0.5" header="0.5" footer="0.5"/>
  <pageSetup orientation="landscape" fitToHeight="2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baseColWidth="8" defaultRowHeight="12.75"/>
  <cols>
    <col width="37" bestFit="1" customWidth="1" style="28" min="1" max="1"/>
    <col width="9.625" customWidth="1" style="28" min="2" max="8"/>
    <col width="4.375" customWidth="1" style="28" min="9" max="9"/>
    <col width="46.125" bestFit="1" customWidth="1" style="28" min="10" max="10"/>
    <col width="9" customWidth="1" style="28" min="11" max="16384"/>
  </cols>
  <sheetData>
    <row r="1" ht="26.25" customHeight="1">
      <c r="A1" s="90">
        <f>'Cover Page'!I2</f>
        <v/>
      </c>
      <c r="E1" s="29" t="n"/>
    </row>
    <row r="2" ht="15.75" customHeight="1">
      <c r="A2" s="89">
        <f>'Cover Page'!I3</f>
        <v/>
      </c>
      <c r="B2" s="82" t="n">
        <v>2021</v>
      </c>
      <c r="C2" s="82" t="n">
        <v>2022</v>
      </c>
      <c r="D2" s="82" t="n">
        <v>2023</v>
      </c>
      <c r="E2" s="82" t="n">
        <v>2024</v>
      </c>
      <c r="F2" s="82" t="n">
        <v>2025</v>
      </c>
      <c r="G2" s="82" t="n">
        <v>2026</v>
      </c>
      <c r="H2" s="82" t="n">
        <v>2027</v>
      </c>
      <c r="I2" s="82" t="n"/>
    </row>
    <row r="3" ht="16.5" customHeight="1" thickBot="1">
      <c r="A3" s="32" t="n"/>
      <c r="B3" s="83" t="inlineStr">
        <is>
          <t>Actual</t>
        </is>
      </c>
      <c r="C3" s="83" t="inlineStr">
        <is>
          <t>Actual</t>
        </is>
      </c>
      <c r="D3" s="83" t="inlineStr">
        <is>
          <t>Actual</t>
        </is>
      </c>
      <c r="E3" s="83" t="inlineStr">
        <is>
          <t>Actual</t>
        </is>
      </c>
      <c r="F3" s="83" t="inlineStr">
        <is>
          <t>Forecast</t>
        </is>
      </c>
      <c r="G3" s="83" t="inlineStr">
        <is>
          <t>Forecast</t>
        </is>
      </c>
      <c r="H3" s="83" t="inlineStr">
        <is>
          <t>Forecast</t>
        </is>
      </c>
      <c r="I3" s="82" t="n"/>
      <c r="J3" s="95" t="inlineStr">
        <is>
          <t>Formula Sheet</t>
        </is>
      </c>
    </row>
    <row r="4" ht="15.75" customHeight="1">
      <c r="A4" s="28" t="inlineStr">
        <is>
          <t>Working Capital</t>
        </is>
      </c>
      <c r="B4" s="137" t="n"/>
      <c r="C4" s="137" t="n"/>
      <c r="D4" s="137" t="n"/>
      <c r="E4" s="137" t="n"/>
      <c r="F4" s="137" t="n"/>
      <c r="G4" s="137" t="n"/>
      <c r="H4" s="137" t="n"/>
      <c r="I4" s="137" t="n"/>
      <c r="J4" s="94" t="inlineStr">
        <is>
          <t>= Current Assets -  Current Lib</t>
        </is>
      </c>
    </row>
    <row r="5" ht="15.75" customHeight="1">
      <c r="A5" s="92" t="inlineStr">
        <is>
          <t>Current Ratio</t>
        </is>
      </c>
      <c r="J5" s="93" t="inlineStr">
        <is>
          <t>= Current Assets /  Current Lib</t>
        </is>
      </c>
    </row>
    <row r="6" ht="15.75" customHeight="1">
      <c r="A6" s="92" t="inlineStr">
        <is>
          <t>Collection Period</t>
        </is>
      </c>
      <c r="J6" s="93" t="inlineStr">
        <is>
          <t>= Average Acct. Rec / (Sales/365)</t>
        </is>
      </c>
    </row>
    <row r="7" ht="15.75" customHeight="1">
      <c r="A7" s="92" t="inlineStr">
        <is>
          <t>Days to Sell Inventory</t>
        </is>
      </c>
      <c r="J7" s="93" t="inlineStr">
        <is>
          <t>= Average Inventory / (CGS/365)</t>
        </is>
      </c>
    </row>
    <row r="8" ht="15.75" customHeight="1">
      <c r="A8" s="92" t="inlineStr">
        <is>
          <t>Total Debt to Equity</t>
        </is>
      </c>
      <c r="J8" s="93" t="inlineStr">
        <is>
          <t>= Total Lib / ShareHolder Eq</t>
        </is>
      </c>
    </row>
    <row r="9" ht="15.75" customHeight="1">
      <c r="A9" s="92" t="inlineStr">
        <is>
          <t>Longterm Debt to Equity</t>
        </is>
      </c>
      <c r="J9" s="93" t="inlineStr">
        <is>
          <t>= Longterm Lib / ShareHolder Eq</t>
        </is>
      </c>
    </row>
    <row r="10" ht="15.75" customHeight="1">
      <c r="A10" s="92" t="inlineStr">
        <is>
          <t>Times Interest Earned</t>
        </is>
      </c>
      <c r="J10" s="93" t="inlineStr">
        <is>
          <t>= EBIT / Int exp.</t>
        </is>
      </c>
    </row>
    <row r="11" ht="15.75" customHeight="1">
      <c r="A11" s="92" t="inlineStr">
        <is>
          <t>Return on Assets</t>
        </is>
      </c>
      <c r="J11" s="93" t="inlineStr">
        <is>
          <t>= Net Income + Int. Exp (1-tax rate) / Avg. Total Assets</t>
        </is>
      </c>
    </row>
    <row r="12" ht="15.75" customHeight="1">
      <c r="A12" s="92" t="inlineStr">
        <is>
          <t>Return on Equity</t>
        </is>
      </c>
      <c r="J12" s="93" t="inlineStr">
        <is>
          <t>= Net Income / Avg. Shareholder equity</t>
        </is>
      </c>
    </row>
    <row r="13" ht="15.75" customHeight="1">
      <c r="A13" s="92" t="inlineStr">
        <is>
          <t>Gross Profit Margin</t>
        </is>
      </c>
      <c r="J13" s="93" t="inlineStr">
        <is>
          <t>= Sales - CGS / Sales</t>
        </is>
      </c>
    </row>
    <row r="14" ht="15.75" customHeight="1">
      <c r="A14" s="92" t="inlineStr">
        <is>
          <t>Operating Profit Margin</t>
        </is>
      </c>
      <c r="J14" s="93" t="inlineStr">
        <is>
          <t>= Operating Income / Sales</t>
        </is>
      </c>
    </row>
    <row r="15" ht="15.75" customHeight="1">
      <c r="A15" s="92" t="inlineStr">
        <is>
          <t>Net Profit Margin</t>
        </is>
      </c>
      <c r="J15" s="93" t="inlineStr">
        <is>
          <t>= Net Income / Sales</t>
        </is>
      </c>
    </row>
    <row r="16" ht="15.75" customHeight="1">
      <c r="A16" s="92" t="inlineStr">
        <is>
          <t>Cash Turnover</t>
        </is>
      </c>
      <c r="J16" s="93" t="inlineStr">
        <is>
          <t>= Sales / Avg. Cash</t>
        </is>
      </c>
    </row>
    <row r="17" ht="15.75" customHeight="1">
      <c r="A17" s="92" t="inlineStr">
        <is>
          <t>Acc. Rec. Turnover</t>
        </is>
      </c>
      <c r="J17" s="93" t="inlineStr">
        <is>
          <t>= Sales / Avg. Acc. Rec.</t>
        </is>
      </c>
    </row>
    <row r="18" ht="15.75" customHeight="1">
      <c r="A18" s="92" t="inlineStr">
        <is>
          <t>Inventory Turnover</t>
        </is>
      </c>
      <c r="J18" s="93" t="inlineStr">
        <is>
          <t>= Cost of Sales / Avg. Inventory</t>
        </is>
      </c>
    </row>
    <row r="19" ht="15.75" customHeight="1">
      <c r="A19" s="92" t="inlineStr">
        <is>
          <t>Working Cap. Turnover</t>
        </is>
      </c>
      <c r="J19" s="93" t="inlineStr">
        <is>
          <t>= Sales / Avg. Working Cap</t>
        </is>
      </c>
    </row>
    <row r="20" ht="15.75" customHeight="1">
      <c r="A20" s="92" t="inlineStr">
        <is>
          <t>Total Asssets Turnover</t>
        </is>
      </c>
      <c r="J20" s="93" t="inlineStr">
        <is>
          <t>= Sales / Avg. Total Asssets</t>
        </is>
      </c>
    </row>
    <row r="21" ht="12.75" customHeight="1">
      <c r="A21" s="92" t="inlineStr">
        <is>
          <t>Earning per share (EPS)</t>
        </is>
      </c>
      <c r="J21" s="93" t="inlineStr">
        <is>
          <t>= Net Income / Avg Shares Outstanding</t>
        </is>
      </c>
    </row>
    <row r="22" ht="15.75" customHeight="1">
      <c r="A22" s="92" t="inlineStr">
        <is>
          <t>Price to earnings</t>
        </is>
      </c>
      <c r="J22" s="93" t="inlineStr">
        <is>
          <t>= Market Price / EPS</t>
        </is>
      </c>
    </row>
    <row r="23" ht="15.75" customHeight="1">
      <c r="A23" s="92" t="inlineStr">
        <is>
          <t>Earnings Yield</t>
        </is>
      </c>
      <c r="J23" s="93" t="inlineStr">
        <is>
          <t>=  EPS / Market Price</t>
        </is>
      </c>
    </row>
    <row r="24" ht="15.75" customHeight="1">
      <c r="A24" s="92" t="inlineStr">
        <is>
          <t>Dividend Yield</t>
        </is>
      </c>
      <c r="J24" s="93" t="inlineStr">
        <is>
          <t>=  Cash Dividend per share / Market Price</t>
        </is>
      </c>
    </row>
    <row r="25" ht="15.75" customHeight="1">
      <c r="A25" s="92" t="inlineStr">
        <is>
          <t>Dividend Payout rate</t>
        </is>
      </c>
      <c r="J25" s="93" t="inlineStr">
        <is>
          <t>=  Cash Dividend per share / EPS</t>
        </is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2.75" customHeight="1"/>
    <row r="34" ht="15.75" customHeight="1"/>
    <row r="35" ht="15.75" customHeight="1"/>
    <row r="36" ht="15.75" customHeight="1"/>
    <row r="37" ht="12.75" customHeight="1"/>
    <row r="38" ht="15.75" customHeight="1"/>
    <row r="39" ht="12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2.75" customHeight="1"/>
    <row r="49" ht="15.75" customHeight="1"/>
    <row r="50" ht="15.75" customHeight="1"/>
    <row r="51" ht="15.75" customHeight="1"/>
    <row r="52" ht="15.75" customHeight="1"/>
    <row r="53" ht="12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B110" s="137" t="n"/>
      <c r="C110" s="153" t="n"/>
      <c r="D110" s="153" t="n"/>
      <c r="E110" s="153" t="n"/>
      <c r="F110" s="153" t="n"/>
      <c r="G110" s="153" t="n"/>
      <c r="H110" s="153" t="n"/>
      <c r="I110" s="153" t="n"/>
    </row>
    <row r="111" ht="15.75" customHeight="1">
      <c r="B111" s="137" t="n"/>
      <c r="C111" s="153" t="n"/>
      <c r="D111" s="153" t="n"/>
      <c r="E111" s="153" t="n"/>
      <c r="F111" s="153" t="n"/>
      <c r="G111" s="153" t="n"/>
      <c r="H111" s="153" t="n"/>
      <c r="I111" s="153" t="n"/>
    </row>
    <row r="112" ht="15.75" customHeight="1">
      <c r="B112" s="137" t="n"/>
      <c r="C112" s="153" t="n"/>
      <c r="D112" s="153" t="n"/>
      <c r="E112" s="153" t="n"/>
      <c r="F112" s="153" t="n"/>
      <c r="G112" s="153" t="n"/>
      <c r="H112" s="153" t="n"/>
      <c r="I112" s="153" t="n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4">
      <c r="D184" s="152" t="n"/>
      <c r="E184" s="152" t="n"/>
      <c r="F184" s="152" t="n"/>
      <c r="G184" s="152" t="n"/>
      <c r="H184" s="152" t="n"/>
      <c r="I184" s="152" t="n"/>
    </row>
  </sheetData>
  <printOptions gridLines="1"/>
  <pageMargins left="0.5" right="0.5" top="0.5" bottom="0.5" header="0.5" footer="0.5"/>
  <pageSetup orientation="landscape" fitToHeight="2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baseColWidth="8" defaultRowHeight="15.75"/>
  <cols>
    <col width="49.875" bestFit="1" customWidth="1" min="1" max="1"/>
    <col width="12.625" customWidth="1" min="2" max="8"/>
    <col width="14" bestFit="1" customWidth="1" min="9" max="9"/>
    <col width="9" customWidth="1" style="28" min="11" max="16384"/>
  </cols>
  <sheetData>
    <row r="1" ht="26.25" customHeight="1">
      <c r="A1" s="90">
        <f>'Cover Page'!I2</f>
        <v/>
      </c>
      <c r="B1" s="28" t="n"/>
      <c r="C1" s="28" t="n"/>
      <c r="D1" s="28" t="n"/>
      <c r="E1" s="29" t="n"/>
      <c r="F1" s="28" t="n"/>
      <c r="G1" s="28" t="n"/>
      <c r="H1" s="28" t="n"/>
      <c r="I1" s="28" t="n"/>
      <c r="J1" s="28" t="n"/>
    </row>
    <row r="2">
      <c r="A2" s="89">
        <f>'Cover Page'!I3</f>
        <v/>
      </c>
      <c r="B2" s="82" t="n">
        <v>2021</v>
      </c>
      <c r="C2" s="82" t="n">
        <v>2022</v>
      </c>
      <c r="D2" s="82" t="n">
        <v>2023</v>
      </c>
      <c r="E2" s="82" t="n">
        <v>2024</v>
      </c>
      <c r="F2" s="82" t="n">
        <v>2025</v>
      </c>
      <c r="G2" s="82" t="n">
        <v>2026</v>
      </c>
      <c r="H2" s="82" t="n">
        <v>2027</v>
      </c>
      <c r="I2" s="31" t="n"/>
      <c r="J2" s="28" t="n"/>
    </row>
    <row r="3">
      <c r="A3" s="32" t="n"/>
      <c r="B3" s="83" t="inlineStr">
        <is>
          <t>Actual</t>
        </is>
      </c>
      <c r="C3" s="83" t="inlineStr">
        <is>
          <t>Actual</t>
        </is>
      </c>
      <c r="D3" s="83" t="inlineStr">
        <is>
          <t>Actual</t>
        </is>
      </c>
      <c r="E3" s="83" t="inlineStr">
        <is>
          <t>Actual</t>
        </is>
      </c>
      <c r="F3" s="83" t="inlineStr">
        <is>
          <t>Forecast</t>
        </is>
      </c>
      <c r="G3" s="83" t="inlineStr">
        <is>
          <t>Forecast</t>
        </is>
      </c>
      <c r="H3" s="83" t="inlineStr">
        <is>
          <t>Forecast</t>
        </is>
      </c>
      <c r="I3" s="83" t="inlineStr">
        <is>
          <t>Terminal Value</t>
        </is>
      </c>
      <c r="J3" s="28" t="n"/>
    </row>
    <row r="4">
      <c r="A4" s="107" t="inlineStr">
        <is>
          <t>Assumption Multipliers</t>
        </is>
      </c>
      <c r="B4" s="91" t="n"/>
      <c r="C4" s="108" t="n"/>
      <c r="D4" s="91" t="n"/>
      <c r="E4" s="91" t="n"/>
      <c r="F4" s="91" t="n"/>
      <c r="G4" s="91" t="n"/>
      <c r="H4" s="91" t="n"/>
      <c r="I4" s="91" t="n"/>
    </row>
    <row r="5">
      <c r="A5" s="91" t="inlineStr">
        <is>
          <t xml:space="preserve">EBITDA GROWTH RATE </t>
        </is>
      </c>
      <c r="B5" s="91" t="n"/>
      <c r="C5" s="91" t="n"/>
      <c r="D5" s="91" t="n"/>
      <c r="E5" s="109">
        <f>(1+(Financials!E11))</f>
        <v/>
      </c>
      <c r="F5" s="91" t="n"/>
      <c r="G5" s="91" t="n"/>
      <c r="H5" s="91" t="n"/>
      <c r="I5" s="91" t="n"/>
    </row>
    <row r="6">
      <c r="A6" s="91" t="inlineStr">
        <is>
          <t xml:space="preserve">EBIT GROWTH RATE </t>
        </is>
      </c>
      <c r="B6" s="91" t="n"/>
      <c r="C6" s="91" t="n"/>
      <c r="D6" s="91" t="n"/>
      <c r="E6" s="109">
        <f>(1+(Financials!E12))</f>
        <v/>
      </c>
      <c r="F6" s="91" t="n"/>
      <c r="G6" s="91" t="n"/>
      <c r="H6" s="91" t="n"/>
      <c r="I6" s="91" t="n"/>
    </row>
    <row r="7">
      <c r="A7" s="91" t="inlineStr">
        <is>
          <t xml:space="preserve">NWC Avg </t>
        </is>
      </c>
      <c r="B7" s="91" t="n"/>
      <c r="C7" s="91" t="n"/>
      <c r="D7" s="91" t="n"/>
      <c r="E7" s="109">
        <f>-(1-(Financials!E13))</f>
        <v/>
      </c>
      <c r="F7" s="91" t="n"/>
      <c r="G7" s="91" t="n"/>
      <c r="H7" s="91" t="n"/>
      <c r="I7" s="91" t="n"/>
    </row>
    <row r="8">
      <c r="A8" s="91" t="inlineStr">
        <is>
          <t xml:space="preserve">Dep/Amo Avg Growth </t>
        </is>
      </c>
      <c r="B8" s="91" t="n"/>
      <c r="C8" s="91" t="n"/>
      <c r="D8" s="91" t="n"/>
      <c r="E8" s="109">
        <f>(1+(Financials!E14))</f>
        <v/>
      </c>
      <c r="F8" s="91" t="n"/>
      <c r="G8" s="91" t="n"/>
      <c r="H8" s="91" t="n"/>
      <c r="I8" s="91" t="n"/>
    </row>
    <row r="9">
      <c r="A9" s="91" t="inlineStr">
        <is>
          <t>Capex Avg</t>
        </is>
      </c>
      <c r="B9" s="91" t="n"/>
      <c r="C9" s="91" t="n"/>
      <c r="D9" s="91" t="n"/>
      <c r="E9" s="109">
        <f>(1+(Financials!E15))</f>
        <v/>
      </c>
      <c r="F9" s="91" t="n"/>
      <c r="G9" s="91" t="n"/>
      <c r="H9" s="91" t="n"/>
      <c r="I9" s="91" t="n"/>
    </row>
    <row r="10">
      <c r="A10" s="91" t="inlineStr">
        <is>
          <t>WACC</t>
        </is>
      </c>
      <c r="B10" s="91" t="n"/>
      <c r="C10" s="91" t="n"/>
      <c r="D10" s="91" t="n"/>
      <c r="E10" s="109">
        <f>(1+(Financials!E16))</f>
        <v/>
      </c>
      <c r="F10" s="91" t="n"/>
      <c r="G10" s="91" t="n"/>
      <c r="H10" s="91" t="n"/>
      <c r="I10" s="91" t="n"/>
    </row>
    <row r="11">
      <c r="A11" s="91" t="inlineStr">
        <is>
          <t xml:space="preserve">Tax growth rate </t>
        </is>
      </c>
      <c r="B11" s="91" t="n"/>
      <c r="C11" s="91" t="n"/>
      <c r="D11" s="91" t="n"/>
      <c r="E11" s="109">
        <f>(1+(Financials!E6))</f>
        <v/>
      </c>
      <c r="F11" s="91" t="n"/>
      <c r="G11" s="91" t="n"/>
      <c r="H11" s="91" t="n"/>
      <c r="I11" s="91" t="n"/>
    </row>
    <row r="12">
      <c r="A12" s="91" t="n"/>
      <c r="B12" s="91" t="n"/>
      <c r="C12" s="91" t="n"/>
      <c r="D12" s="91" t="n"/>
      <c r="E12" s="91" t="n"/>
      <c r="F12" s="91" t="n"/>
      <c r="G12" s="91" t="n"/>
      <c r="H12" s="91" t="n"/>
      <c r="I12" s="91" t="n"/>
    </row>
    <row r="13">
      <c r="A13" s="91" t="n"/>
      <c r="B13" s="91" t="n"/>
      <c r="C13" s="91" t="n"/>
      <c r="D13" s="91" t="n"/>
      <c r="E13" s="91" t="n"/>
      <c r="F13" s="91" t="n"/>
      <c r="G13" s="91" t="n"/>
      <c r="H13" s="91" t="n"/>
      <c r="I13" s="91" t="n"/>
    </row>
    <row r="14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</row>
    <row r="15">
      <c r="A15" s="118" t="inlineStr">
        <is>
          <t>UFCF Using EBIT</t>
        </is>
      </c>
      <c r="B15" s="91" t="n"/>
      <c r="C15" s="91" t="n"/>
      <c r="D15" s="91" t="n"/>
      <c r="E15" s="91" t="n"/>
      <c r="F15" s="91" t="n"/>
      <c r="G15" s="91" t="n"/>
      <c r="H15" s="91" t="n"/>
      <c r="I15" s="91" t="n"/>
    </row>
    <row r="16">
      <c r="A16" s="110" t="inlineStr">
        <is>
          <t>EBIT</t>
        </is>
      </c>
      <c r="B16" s="91" t="n"/>
      <c r="C16" s="91" t="n"/>
      <c r="D16" s="91" t="n"/>
      <c r="E16" s="91" t="n"/>
      <c r="F16" s="91" t="n"/>
      <c r="G16" s="91" t="n"/>
      <c r="H16" s="91" t="n"/>
      <c r="I16" s="91" t="n"/>
    </row>
    <row r="17">
      <c r="A17" s="110" t="inlineStr">
        <is>
          <t>Less: Unlevered Taxes</t>
        </is>
      </c>
      <c r="B17" s="91" t="n"/>
      <c r="C17" s="91" t="n"/>
      <c r="D17" s="91" t="n"/>
      <c r="E17" s="91" t="n"/>
      <c r="F17" s="91" t="n"/>
      <c r="G17" s="91" t="n"/>
      <c r="H17" s="91" t="n"/>
      <c r="I17" s="91" t="n"/>
    </row>
    <row r="18">
      <c r="A18" s="113" t="inlineStr">
        <is>
          <t>Net Operating Profit After Taxes (NOPAT)</t>
        </is>
      </c>
      <c r="B18" s="114" t="n"/>
      <c r="C18" s="114" t="n"/>
      <c r="D18" s="114" t="n"/>
      <c r="E18" s="114" t="n"/>
      <c r="F18" s="114" t="n"/>
      <c r="G18" s="114" t="n"/>
      <c r="H18" s="114" t="n"/>
      <c r="I18" s="114" t="n"/>
    </row>
    <row r="19">
      <c r="A19" s="110" t="inlineStr">
        <is>
          <t>Add: Depreciation</t>
        </is>
      </c>
      <c r="B19" s="91" t="n"/>
      <c r="C19" s="91" t="n"/>
      <c r="D19" s="91" t="n"/>
      <c r="E19" s="91" t="n"/>
      <c r="F19" s="91" t="n"/>
      <c r="G19" s="91" t="n"/>
      <c r="H19" s="91" t="n"/>
      <c r="I19" s="91" t="n"/>
    </row>
    <row r="20">
      <c r="A20" s="110" t="inlineStr">
        <is>
          <t>Less: Capex Investment</t>
        </is>
      </c>
      <c r="B20" s="91" t="n"/>
      <c r="C20" s="91" t="n"/>
      <c r="D20" s="91" t="n"/>
      <c r="E20" s="91" t="n"/>
      <c r="F20" s="91" t="n"/>
      <c r="G20" s="91" t="n"/>
      <c r="H20" s="91" t="n"/>
      <c r="I20" s="91" t="n"/>
    </row>
    <row r="21" ht="16.5" customHeight="1" thickBot="1">
      <c r="A21" s="110" t="inlineStr">
        <is>
          <t>Less: Change in working capital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</row>
    <row r="22">
      <c r="A22" s="111" t="inlineStr">
        <is>
          <t>Unlevered Free Cash Flow (UFCF) using EBIT</t>
        </is>
      </c>
      <c r="B22" s="112" t="n"/>
      <c r="C22" s="112" t="n"/>
      <c r="D22" s="112" t="n"/>
      <c r="E22" s="112" t="n"/>
      <c r="F22" s="112" t="n"/>
      <c r="G22" s="112" t="n"/>
      <c r="H22" s="112" t="n"/>
      <c r="I22" s="112" t="n"/>
    </row>
    <row r="23">
      <c r="A23" s="110" t="n"/>
      <c r="B23" s="91" t="n"/>
      <c r="C23" s="91" t="n"/>
      <c r="D23" s="91" t="n"/>
      <c r="E23" s="91" t="n"/>
      <c r="F23" s="91" t="n"/>
      <c r="G23" s="91" t="n"/>
      <c r="H23" s="91" t="n"/>
      <c r="I23" s="91" t="n"/>
    </row>
    <row r="24">
      <c r="A24" s="118" t="inlineStr">
        <is>
          <t>UFCF Using Net Income</t>
        </is>
      </c>
      <c r="B24" s="91" t="n"/>
      <c r="C24" s="91" t="n"/>
      <c r="D24" s="91" t="n"/>
      <c r="E24" s="91" t="n"/>
      <c r="F24" s="91" t="n"/>
      <c r="G24" s="91" t="n"/>
      <c r="H24" s="91" t="n"/>
      <c r="I24" s="91" t="n"/>
    </row>
    <row r="25">
      <c r="A25" s="110" t="inlineStr">
        <is>
          <t>Net Income</t>
        </is>
      </c>
      <c r="B25" s="91" t="n"/>
      <c r="C25" s="91" t="n"/>
      <c r="D25" s="91" t="n"/>
      <c r="E25" s="91" t="n"/>
      <c r="F25" s="91" t="n"/>
      <c r="G25" s="91" t="n"/>
      <c r="H25" s="91" t="n"/>
      <c r="I25" s="91" t="n"/>
    </row>
    <row r="26">
      <c r="A26" s="110" t="inlineStr">
        <is>
          <t>Depreciation</t>
        </is>
      </c>
      <c r="B26" s="91" t="n"/>
      <c r="C26" s="91" t="n"/>
      <c r="D26" s="91" t="n"/>
      <c r="E26" s="91" t="n"/>
      <c r="F26" s="91" t="n"/>
      <c r="G26" s="91" t="n"/>
      <c r="H26" s="91" t="n"/>
      <c r="I26" s="91" t="n"/>
    </row>
    <row r="27">
      <c r="A27" s="110" t="inlineStr">
        <is>
          <t>After-tax Interest Expense (Int Exp * (1-Tax))</t>
        </is>
      </c>
      <c r="B27" s="91" t="n"/>
      <c r="C27" s="91" t="n"/>
      <c r="D27" s="91" t="n"/>
      <c r="E27" s="91" t="n"/>
      <c r="F27" s="91" t="n"/>
      <c r="G27" s="91" t="n"/>
      <c r="H27" s="91" t="n"/>
      <c r="I27" s="91" t="n"/>
    </row>
    <row r="28">
      <c r="A28" s="110" t="inlineStr">
        <is>
          <t>Less: Capex Investment</t>
        </is>
      </c>
      <c r="B28" s="91" t="n"/>
      <c r="C28" s="91" t="n"/>
      <c r="D28" s="91" t="n"/>
      <c r="E28" s="91" t="n"/>
      <c r="F28" s="91" t="n"/>
      <c r="G28" s="91" t="n"/>
      <c r="H28" s="91" t="n"/>
      <c r="I28" s="91" t="n"/>
    </row>
    <row r="29" ht="16.5" customHeight="1" thickBot="1">
      <c r="A29" s="110" t="inlineStr">
        <is>
          <t>Less: Change in working capital</t>
        </is>
      </c>
      <c r="B29" s="91" t="n"/>
      <c r="C29" s="91" t="n"/>
      <c r="D29" s="91" t="n"/>
      <c r="E29" s="91" t="n"/>
      <c r="F29" s="91" t="n"/>
      <c r="G29" s="91" t="n"/>
      <c r="H29" s="91" t="n"/>
      <c r="I29" s="91" t="n"/>
    </row>
    <row r="30">
      <c r="A30" s="111" t="inlineStr">
        <is>
          <t>Unlevered Free Cash Flow (UFCF) using Net Income</t>
        </is>
      </c>
      <c r="B30" s="112" t="n"/>
      <c r="C30" s="112" t="n"/>
      <c r="D30" s="112" t="n"/>
      <c r="E30" s="112" t="n"/>
      <c r="F30" s="112" t="n"/>
      <c r="G30" s="112" t="n"/>
      <c r="H30" s="112" t="n"/>
      <c r="I30" s="112" t="n"/>
    </row>
    <row r="31">
      <c r="A31" s="110" t="n"/>
      <c r="B31" s="91" t="n"/>
      <c r="C31" s="91" t="n"/>
      <c r="D31" s="91" t="n"/>
      <c r="E31" s="91" t="n"/>
      <c r="F31" s="91" t="n"/>
      <c r="G31" s="91" t="n"/>
      <c r="H31" s="91" t="n"/>
      <c r="I31" s="91" t="n"/>
    </row>
    <row r="32">
      <c r="A32" s="118" t="inlineStr">
        <is>
          <t>UFCF Using EBITDA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</row>
    <row r="33">
      <c r="A33" s="110" t="inlineStr">
        <is>
          <t>EBITDA</t>
        </is>
      </c>
      <c r="B33" s="91" t="n"/>
      <c r="C33" s="91" t="n"/>
      <c r="D33" s="91" t="n"/>
      <c r="E33" s="91" t="n"/>
      <c r="F33" s="91" t="n"/>
      <c r="G33" s="91" t="n"/>
      <c r="H33" s="91" t="n"/>
      <c r="I33" s="91" t="n"/>
    </row>
    <row r="34">
      <c r="A34" s="110" t="inlineStr">
        <is>
          <t>Less: Unlevered Taxes</t>
        </is>
      </c>
      <c r="B34" s="91" t="n"/>
      <c r="C34" s="91" t="n"/>
      <c r="D34" s="91" t="n"/>
      <c r="E34" s="91" t="n"/>
      <c r="F34" s="91" t="n"/>
      <c r="G34" s="91" t="n"/>
      <c r="H34" s="91" t="n"/>
      <c r="I34" s="91" t="n"/>
    </row>
    <row r="35">
      <c r="A35" s="110" t="inlineStr">
        <is>
          <t>Less: Capex Investment</t>
        </is>
      </c>
      <c r="B35" s="91" t="n"/>
      <c r="C35" s="91" t="n"/>
      <c r="D35" s="91" t="n"/>
      <c r="E35" s="91" t="n"/>
      <c r="F35" s="91" t="n"/>
      <c r="G35" s="91" t="n"/>
      <c r="H35" s="91" t="n"/>
      <c r="I35" s="91" t="n"/>
    </row>
    <row r="36" ht="16.5" customHeight="1" thickBot="1">
      <c r="A36" s="110" t="inlineStr">
        <is>
          <t>Less: Change in working capital</t>
        </is>
      </c>
      <c r="B36" s="91" t="n"/>
      <c r="C36" s="91" t="n"/>
      <c r="D36" s="91" t="n"/>
      <c r="E36" s="91" t="n"/>
      <c r="F36" s="91" t="n"/>
      <c r="G36" s="91" t="n"/>
      <c r="H36" s="91" t="n"/>
      <c r="I36" s="91" t="n"/>
    </row>
    <row r="37">
      <c r="A37" s="111" t="inlineStr">
        <is>
          <t>Unlevered Free Cash Flow (UFCF) using EBITDA</t>
        </is>
      </c>
      <c r="B37" s="112" t="n"/>
      <c r="C37" s="112" t="n"/>
      <c r="D37" s="112" t="n"/>
      <c r="E37" s="112" t="n"/>
      <c r="F37" s="112" t="n"/>
      <c r="G37" s="112" t="n"/>
      <c r="H37" s="112" t="n"/>
      <c r="I37" s="112" t="n"/>
    </row>
    <row r="38">
      <c r="A38" s="91" t="n"/>
      <c r="B38" s="91" t="n"/>
      <c r="C38" s="91" t="n"/>
      <c r="D38" s="91" t="n"/>
      <c r="E38" s="91" t="n"/>
      <c r="F38" s="91" t="n"/>
      <c r="G38" s="91" t="n"/>
      <c r="H38" s="91" t="n"/>
      <c r="I38" s="91" t="n"/>
    </row>
    <row r="39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</row>
    <row r="40">
      <c r="A40" s="118" t="inlineStr">
        <is>
          <t>Calculation of Terminal Value</t>
        </is>
      </c>
      <c r="B40" s="91" t="n"/>
      <c r="C40" s="91" t="n"/>
      <c r="D40" s="91" t="n"/>
      <c r="E40" s="91" t="n"/>
      <c r="F40" s="91" t="n"/>
      <c r="G40" s="91" t="n"/>
      <c r="H40" s="91" t="n"/>
      <c r="I40" s="91" t="n"/>
    </row>
    <row r="41">
      <c r="A41" s="91" t="inlineStr">
        <is>
          <t>Terminal Value using Perpetual Growth Rate</t>
        </is>
      </c>
      <c r="B41" s="91" t="n"/>
      <c r="C41" s="91" t="n"/>
      <c r="D41" s="91" t="n"/>
      <c r="E41" s="91" t="n"/>
      <c r="F41" s="91" t="n"/>
      <c r="G41" s="91" t="n"/>
      <c r="H41" s="91" t="n"/>
      <c r="I41" s="91" t="n"/>
    </row>
    <row r="42">
      <c r="A42" s="91" t="inlineStr">
        <is>
          <t>Terminal Value using EBITDA Multiple</t>
        </is>
      </c>
      <c r="B42" s="91" t="n"/>
      <c r="C42" s="91" t="n"/>
      <c r="D42" s="91" t="n"/>
      <c r="E42" s="91" t="n"/>
      <c r="F42" s="91" t="n"/>
      <c r="G42" s="91" t="n"/>
      <c r="H42" s="91" t="n"/>
      <c r="I42" s="91" t="n"/>
    </row>
    <row r="43">
      <c r="A43" s="91" t="inlineStr">
        <is>
          <t>Average</t>
        </is>
      </c>
      <c r="B43" s="91" t="n"/>
      <c r="C43" s="91" t="n"/>
      <c r="D43" s="91" t="n"/>
      <c r="E43" s="91" t="n"/>
      <c r="F43" s="91" t="n"/>
      <c r="G43" s="91" t="n"/>
      <c r="H43" s="91" t="n"/>
      <c r="I43" s="91" t="n"/>
    </row>
    <row r="44">
      <c r="A44" s="91" t="n"/>
      <c r="B44" s="91" t="n"/>
      <c r="C44" s="91" t="n"/>
      <c r="D44" s="91" t="n"/>
      <c r="E44" s="91" t="n"/>
      <c r="F44" s="91" t="n"/>
      <c r="G44" s="91" t="n"/>
      <c r="H44" s="91" t="n"/>
      <c r="I44" s="91" t="n"/>
    </row>
    <row r="45">
      <c r="A45" s="118" t="inlineStr">
        <is>
          <t>Aggregating UFCF and Terminal Value</t>
        </is>
      </c>
      <c r="B45" s="91" t="n"/>
      <c r="C45" s="91" t="n"/>
      <c r="D45" s="91" t="n"/>
      <c r="E45" s="91" t="n"/>
      <c r="F45" s="91" t="n"/>
      <c r="G45" s="91" t="n"/>
      <c r="H45" s="91" t="n"/>
      <c r="I45" s="91" t="n"/>
    </row>
    <row r="46">
      <c r="A46" s="91" t="inlineStr">
        <is>
          <t>Unlevered Free Cash Flow (UFCF)</t>
        </is>
      </c>
      <c r="B46" s="91" t="n"/>
      <c r="C46" s="91" t="n"/>
      <c r="D46" s="91" t="n"/>
      <c r="E46" s="91" t="n"/>
      <c r="F46" s="91" t="n"/>
      <c r="G46" s="91" t="n"/>
      <c r="H46" s="91" t="n"/>
      <c r="I46" s="91" t="n"/>
    </row>
    <row r="47">
      <c r="A47" s="91" t="inlineStr">
        <is>
          <t>Terminal Value</t>
        </is>
      </c>
      <c r="B47" s="91" t="n"/>
      <c r="C47" s="91" t="n"/>
      <c r="D47" s="91" t="n"/>
      <c r="E47" s="91" t="n"/>
      <c r="F47" s="91" t="n"/>
      <c r="G47" s="91" t="n"/>
      <c r="H47" s="91" t="n"/>
      <c r="I47" s="91" t="n"/>
    </row>
    <row r="48">
      <c r="A48" s="91" t="inlineStr">
        <is>
          <t>Total Cash Flows</t>
        </is>
      </c>
      <c r="B48" s="91" t="n"/>
      <c r="C48" s="91" t="n"/>
      <c r="D48" s="91" t="n"/>
      <c r="E48" s="91" t="n"/>
      <c r="F48" s="91" t="n"/>
      <c r="G48" s="91" t="n"/>
      <c r="H48" s="91" t="n"/>
      <c r="I48" s="91" t="n"/>
    </row>
    <row r="49">
      <c r="A49" s="91" t="n"/>
      <c r="B49" s="91" t="n"/>
      <c r="C49" s="91" t="n"/>
      <c r="D49" s="91" t="n"/>
      <c r="E49" s="91" t="n"/>
      <c r="F49" s="91" t="n"/>
      <c r="G49" s="91" t="n"/>
      <c r="H49" s="91" t="n"/>
      <c r="I49" s="91" t="n"/>
    </row>
    <row r="50">
      <c r="A50" s="118" t="inlineStr">
        <is>
          <t>Discounting of Cash Flows</t>
        </is>
      </c>
      <c r="B50" s="91" t="n"/>
      <c r="C50" s="91" t="n"/>
      <c r="D50" s="91" t="n"/>
      <c r="E50" s="91" t="n"/>
      <c r="F50" s="91" t="n"/>
      <c r="G50" s="91" t="n"/>
      <c r="H50" s="91" t="n"/>
      <c r="I50" s="91" t="n"/>
    </row>
    <row r="51">
      <c r="A51" s="91" t="inlineStr">
        <is>
          <t>Discounting Period</t>
        </is>
      </c>
      <c r="B51" s="91" t="n"/>
      <c r="C51" s="91" t="n"/>
      <c r="D51" s="91" t="n"/>
      <c r="E51" s="91" t="n"/>
      <c r="F51" s="91" t="n"/>
      <c r="G51" s="91" t="n"/>
      <c r="H51" s="91" t="n"/>
      <c r="I51" s="91" t="n"/>
    </row>
    <row r="52">
      <c r="A52" s="91" t="inlineStr">
        <is>
          <t>Present Value of Cash Flows</t>
        </is>
      </c>
      <c r="B52" s="91" t="n"/>
      <c r="C52" s="91" t="n"/>
      <c r="D52" s="91" t="n"/>
      <c r="E52" s="91" t="n"/>
      <c r="F52" s="91" t="n"/>
      <c r="G52" s="91" t="n"/>
      <c r="H52" s="91" t="n"/>
      <c r="I52" s="91" t="n"/>
    </row>
    <row r="53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</row>
    <row r="54">
      <c r="A54" s="118" t="inlineStr">
        <is>
          <t>EQUITY VALUE</t>
        </is>
      </c>
      <c r="B54" s="91" t="n"/>
      <c r="C54" s="91" t="n"/>
      <c r="D54" s="91" t="n"/>
      <c r="E54" s="91" t="n"/>
      <c r="F54" s="91" t="n"/>
      <c r="G54" s="91" t="n"/>
      <c r="H54" s="91" t="n"/>
      <c r="I54" s="91" t="n"/>
    </row>
    <row r="55">
      <c r="A55" s="91" t="inlineStr">
        <is>
          <t>Enterprise Value</t>
        </is>
      </c>
      <c r="B55" s="91" t="n"/>
      <c r="C55" s="91" t="n"/>
      <c r="D55" s="91" t="n"/>
      <c r="E55" s="91" t="n"/>
      <c r="F55" s="91" t="n"/>
      <c r="G55" s="91" t="n"/>
      <c r="H55" s="91" t="n"/>
      <c r="I55" s="91" t="n"/>
    </row>
    <row r="56">
      <c r="A56" s="91" t="inlineStr">
        <is>
          <t>Less: Net Debt</t>
        </is>
      </c>
      <c r="B56" s="91" t="n"/>
      <c r="C56" s="91" t="n"/>
      <c r="D56" s="91" t="n"/>
    </row>
    <row r="57">
      <c r="A57" s="91" t="inlineStr">
        <is>
          <t>Equity Value</t>
        </is>
      </c>
      <c r="B57" s="91" t="n"/>
      <c r="C57" s="91" t="n"/>
      <c r="D57" s="91" t="n"/>
    </row>
    <row r="58">
      <c r="A58" s="91" t="n"/>
      <c r="B58" s="91" t="n"/>
      <c r="C58" s="91" t="n"/>
      <c r="D58" s="91" t="n"/>
    </row>
    <row r="59">
      <c r="A59" s="118" t="inlineStr">
        <is>
          <t>EQUITY VALUE PER SHARE</t>
        </is>
      </c>
      <c r="B59" s="91" t="n"/>
      <c r="C59" s="91" t="n"/>
      <c r="D59" s="91" t="n"/>
    </row>
    <row r="60">
      <c r="A60" s="91" t="inlineStr">
        <is>
          <t>Equity Value</t>
        </is>
      </c>
      <c r="B60" s="91" t="n"/>
      <c r="C60" s="91" t="n"/>
      <c r="D60" s="91" t="n"/>
    </row>
    <row r="61">
      <c r="A61" s="91" t="inlineStr">
        <is>
          <t>Shares Outstanding</t>
        </is>
      </c>
      <c r="B61" s="91" t="n"/>
      <c r="C61" s="91" t="n"/>
      <c r="D61" s="91" t="n"/>
    </row>
    <row r="62">
      <c r="A62" s="91" t="inlineStr">
        <is>
          <t>Equity Value per share</t>
        </is>
      </c>
      <c r="B62" s="91" t="n"/>
      <c r="C62" s="91" t="n"/>
      <c r="D62" s="91" t="n"/>
    </row>
    <row r="63">
      <c r="A63" s="91" t="n"/>
      <c r="B63" s="91" t="n"/>
      <c r="C63" s="91" t="n"/>
      <c r="D63" s="91" t="n"/>
    </row>
    <row r="64">
      <c r="A64" s="91" t="n"/>
      <c r="B64" s="91" t="n"/>
      <c r="C64" s="91" t="n"/>
      <c r="D64" s="91" t="n"/>
    </row>
    <row r="65">
      <c r="A65" s="115" t="inlineStr">
        <is>
          <t>Weighted Average Target Price (Blended Method)</t>
        </is>
      </c>
      <c r="B65" s="91" t="n"/>
      <c r="C65" s="91" t="n"/>
      <c r="D65" s="91" t="n"/>
    </row>
    <row r="66" ht="45.75" customHeight="1">
      <c r="A66" s="118" t="inlineStr">
        <is>
          <t>Valuation Methodology</t>
        </is>
      </c>
      <c r="B66" s="116" t="inlineStr">
        <is>
          <t>Fair Value (SAR)</t>
        </is>
      </c>
      <c r="C66" s="108" t="inlineStr">
        <is>
          <t>Weightage</t>
        </is>
      </c>
      <c r="D66" s="116" t="inlineStr">
        <is>
          <t>Weighted value per share (SAR)</t>
        </is>
      </c>
    </row>
    <row r="67">
      <c r="A67" s="91" t="inlineStr">
        <is>
          <t>DCF</t>
        </is>
      </c>
      <c r="B67" s="91">
        <f>B62</f>
        <v/>
      </c>
      <c r="C67" s="117" t="n">
        <v>0.5</v>
      </c>
      <c r="D67" s="91">
        <f>(B67*C67)</f>
        <v/>
      </c>
    </row>
    <row r="68">
      <c r="A68" s="91" t="inlineStr">
        <is>
          <t>Relative Valuation (EV/EBITDA)</t>
        </is>
      </c>
      <c r="B68" s="91" t="n"/>
      <c r="C68" s="117" t="n">
        <v>0.3</v>
      </c>
      <c r="D68" s="91">
        <f>(B68*C68)</f>
        <v/>
      </c>
    </row>
    <row r="69">
      <c r="A69" s="91" t="inlineStr">
        <is>
          <t>Relative Valuation (P/E)</t>
        </is>
      </c>
      <c r="B69" s="91">
        <f>Ratios!E22</f>
        <v/>
      </c>
      <c r="C69" s="117" t="n">
        <v>0.2</v>
      </c>
      <c r="D69" s="91">
        <f>(B69*C69)</f>
        <v/>
      </c>
    </row>
    <row r="70" ht="20.25" customHeight="1">
      <c r="A70" s="119" t="inlineStr">
        <is>
          <t>Intrinsic Value (SAR)</t>
        </is>
      </c>
      <c r="B70" s="119" t="inlineStr">
        <is>
          <t xml:space="preserve"> </t>
        </is>
      </c>
      <c r="C70" s="120">
        <f>SUM(C67:C69)</f>
        <v/>
      </c>
      <c r="D70" s="121">
        <f>SUM(D67:D69)</f>
        <v/>
      </c>
    </row>
    <row r="126" ht="12.75" customHeight="1"/>
    <row r="130" ht="12.75" customHeight="1"/>
    <row r="138" ht="12.75" customHeight="1"/>
    <row r="142" ht="12.75" customHeight="1"/>
    <row r="144" ht="12.75" customHeight="1"/>
    <row r="153" ht="12.75" customHeight="1"/>
    <row r="158" ht="12" customHeight="1"/>
  </sheetData>
  <printOptions gridLines="1"/>
  <pageMargins left="0.5" right="0.5" top="0.5" bottom="0.5" header="0.5" footer="0.5"/>
  <pageSetup orientation="landscape" fitToHeight="2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9" sqref="D19"/>
    </sheetView>
  </sheetViews>
  <sheetFormatPr baseColWidth="8" defaultRowHeight="12.75"/>
  <cols>
    <col width="39" bestFit="1" customWidth="1" style="28" min="1" max="1"/>
    <col width="9.625" customWidth="1" style="28" min="2" max="8"/>
    <col width="9" customWidth="1" style="28" min="9" max="16384"/>
  </cols>
  <sheetData>
    <row r="1" ht="26.25" customHeight="1">
      <c r="A1" s="90">
        <f>'Cover Page'!I2</f>
        <v/>
      </c>
      <c r="E1" s="29" t="n"/>
    </row>
    <row r="2" ht="15.75" customHeight="1">
      <c r="A2" s="89">
        <f>'Cover Page'!I3</f>
        <v/>
      </c>
      <c r="B2" s="82" t="n">
        <v>2021</v>
      </c>
      <c r="C2" s="82" t="n">
        <v>2022</v>
      </c>
      <c r="D2" s="82" t="n">
        <v>2023</v>
      </c>
      <c r="E2" s="82" t="n">
        <v>2024</v>
      </c>
      <c r="F2" s="82" t="n">
        <v>2025</v>
      </c>
      <c r="G2" s="82" t="n">
        <v>2026</v>
      </c>
      <c r="H2" s="82" t="n">
        <v>2027</v>
      </c>
    </row>
    <row r="3" ht="15.75" customHeight="1">
      <c r="A3" s="32" t="n"/>
      <c r="B3" s="83" t="inlineStr">
        <is>
          <t>Actual</t>
        </is>
      </c>
      <c r="C3" s="83" t="inlineStr">
        <is>
          <t>Actual</t>
        </is>
      </c>
      <c r="D3" s="83" t="inlineStr">
        <is>
          <t>Actual</t>
        </is>
      </c>
      <c r="E3" s="83" t="inlineStr">
        <is>
          <t>Actual</t>
        </is>
      </c>
      <c r="F3" s="83" t="inlineStr">
        <is>
          <t>Forecast</t>
        </is>
      </c>
      <c r="G3" s="83" t="inlineStr">
        <is>
          <t>Forecast</t>
        </is>
      </c>
      <c r="H3" s="83" t="inlineStr">
        <is>
          <t>Forecast</t>
        </is>
      </c>
    </row>
    <row r="4" ht="16.5" customHeight="1" thickBot="1">
      <c r="A4" s="106" t="inlineStr">
        <is>
          <t>Environment</t>
        </is>
      </c>
      <c r="B4" s="137" t="n"/>
      <c r="C4" s="137" t="n"/>
      <c r="D4" s="137" t="n"/>
      <c r="E4" s="137" t="n"/>
      <c r="F4" s="137" t="n"/>
      <c r="G4" s="137" t="n"/>
      <c r="H4" s="137" t="n"/>
    </row>
    <row r="5" ht="15.75" customHeight="1">
      <c r="A5" s="92" t="inlineStr">
        <is>
          <t>Carbon Emission Initiatives</t>
        </is>
      </c>
    </row>
    <row r="6" ht="15.75" customHeight="1">
      <c r="A6" s="92" t="inlineStr">
        <is>
          <t>Renewable energy sources</t>
        </is>
      </c>
    </row>
    <row r="7" ht="15.75" customHeight="1">
      <c r="A7" s="92" t="n"/>
    </row>
    <row r="8" ht="15.75" customHeight="1">
      <c r="A8" s="92" t="n"/>
    </row>
    <row r="9" ht="15.75" customHeight="1">
      <c r="A9" s="92" t="n"/>
    </row>
    <row r="10" ht="15.75" customHeight="1">
      <c r="A10" s="92" t="n"/>
    </row>
    <row r="11" ht="16.5" customHeight="1" thickBot="1">
      <c r="A11" s="106" t="inlineStr">
        <is>
          <t>Social</t>
        </is>
      </c>
    </row>
    <row r="12" ht="15.75" customHeight="1">
      <c r="A12" s="92" t="inlineStr">
        <is>
          <t>Anti-bribery and anti corruption policy</t>
        </is>
      </c>
    </row>
    <row r="13" ht="15.75" customHeight="1">
      <c r="A13" s="92" t="inlineStr">
        <is>
          <t>Health and safety policy</t>
        </is>
      </c>
    </row>
    <row r="14" ht="15.75" customHeight="1">
      <c r="A14" s="92" t="inlineStr">
        <is>
          <t>Human rights policy</t>
        </is>
      </c>
    </row>
    <row r="15" ht="15.75" customHeight="1">
      <c r="A15" s="92" t="inlineStr">
        <is>
          <t>Violations of Multinational Enterprise guidelines</t>
        </is>
      </c>
    </row>
    <row r="16" ht="15.75" customHeight="1">
      <c r="A16" s="92" t="n"/>
    </row>
    <row r="17" ht="15.75" customHeight="1">
      <c r="A17" s="92" t="n"/>
    </row>
    <row r="18" ht="16.5" customHeight="1" thickBot="1">
      <c r="A18" s="106" t="inlineStr">
        <is>
          <t>Governance</t>
        </is>
      </c>
    </row>
    <row r="19" ht="15.75" customHeight="1">
      <c r="A19" s="92" t="inlineStr">
        <is>
          <t>Number of Male Members</t>
        </is>
      </c>
    </row>
    <row r="20" ht="15.75" customHeight="1">
      <c r="A20" s="92" t="inlineStr">
        <is>
          <t>Number of Female Members</t>
        </is>
      </c>
    </row>
    <row r="21" ht="15.75" customHeight="1">
      <c r="A21" s="92" t="inlineStr">
        <is>
          <t>Total Number of Board of Directors</t>
        </is>
      </c>
    </row>
    <row r="22" ht="15.75" customHeight="1">
      <c r="A22" s="92" t="inlineStr">
        <is>
          <t>Percent of independent directors</t>
        </is>
      </c>
    </row>
    <row r="23" ht="15.75" customHeight="1">
      <c r="A23" s="92" t="n"/>
    </row>
    <row r="24" ht="15.75" customHeight="1">
      <c r="A24" s="92" t="n"/>
    </row>
    <row r="25" ht="15.75" customHeight="1">
      <c r="A25" s="92" t="n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2.75" customHeight="1"/>
    <row r="34" ht="15.75" customHeight="1"/>
    <row r="35" ht="15.75" customHeight="1"/>
    <row r="36" ht="15.75" customHeight="1"/>
    <row r="37" ht="12.75" customHeight="1"/>
    <row r="38" ht="15.75" customHeight="1"/>
    <row r="39" ht="12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2.75" customHeight="1"/>
    <row r="49" ht="15.75" customHeight="1"/>
    <row r="50" ht="15.75" customHeight="1"/>
    <row r="51" ht="15.75" customHeight="1"/>
    <row r="52" ht="15.75" customHeight="1"/>
    <row r="53" ht="12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B110" s="137" t="n"/>
      <c r="C110" s="153" t="n"/>
      <c r="D110" s="153" t="n"/>
      <c r="E110" s="153" t="n"/>
      <c r="F110" s="153" t="n"/>
      <c r="G110" s="153" t="n"/>
      <c r="H110" s="153" t="n"/>
    </row>
    <row r="111" ht="15.75" customHeight="1">
      <c r="B111" s="137" t="n"/>
      <c r="C111" s="153" t="n"/>
      <c r="D111" s="153" t="n"/>
      <c r="E111" s="153" t="n"/>
      <c r="F111" s="153" t="n"/>
      <c r="G111" s="153" t="n"/>
      <c r="H111" s="153" t="n"/>
    </row>
    <row r="112" ht="15.75" customHeight="1">
      <c r="B112" s="137" t="n"/>
      <c r="C112" s="153" t="n"/>
      <c r="D112" s="153" t="n"/>
      <c r="E112" s="153" t="n"/>
      <c r="F112" s="153" t="n"/>
      <c r="G112" s="153" t="n"/>
      <c r="H112" s="153" t="n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4">
      <c r="D184" s="152" t="n"/>
      <c r="E184" s="152" t="n"/>
      <c r="F184" s="152" t="n"/>
      <c r="G184" s="152" t="n"/>
      <c r="H184" s="152" t="n"/>
    </row>
  </sheetData>
  <printOptions gridLines="1"/>
  <pageMargins left="0.5" right="0.5" top="0.5" bottom="0.5" header="0.5" footer="0.5"/>
  <pageSetup orientation="landscape" fitToHeight="2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45"/>
  <sheetViews>
    <sheetView zoomScaleNormal="100" workbookViewId="0">
      <selection activeCell="E10" sqref="E10"/>
    </sheetView>
  </sheetViews>
  <sheetFormatPr baseColWidth="8" defaultColWidth="8.875" defaultRowHeight="15.75"/>
  <cols>
    <col width="20.5" customWidth="1" min="2" max="2"/>
    <col width="13.125" bestFit="1" customWidth="1" min="3" max="3"/>
    <col width="12.125" bestFit="1" customWidth="1" min="4" max="5"/>
  </cols>
  <sheetData>
    <row r="1">
      <c r="B1" s="128" t="inlineStr">
        <is>
          <t>Formula</t>
        </is>
      </c>
      <c r="C1" s="3" t="inlineStr">
        <is>
          <t>BITDA=[Net Income]+[Interest]+[TaxExpense]+[Depreciation/Amortization]</t>
        </is>
      </c>
      <c r="D1" s="5" t="n"/>
      <c r="E1" s="5" t="n"/>
      <c r="F1" s="5" t="n"/>
      <c r="G1" s="5" t="n"/>
      <c r="H1" s="5" t="n"/>
    </row>
    <row r="2">
      <c r="B2" s="154" t="n"/>
      <c r="C2" s="5" t="inlineStr">
        <is>
          <t xml:space="preserve"> (Current period Ebitda- Prior period Ebitda)/Prior period Ebitda</t>
        </is>
      </c>
    </row>
    <row r="3">
      <c r="B3" s="154" t="n"/>
      <c r="C3" s="3" t="inlineStr">
        <is>
          <t>EBIT = Net Income + Interest + Taxes</t>
        </is>
      </c>
    </row>
    <row r="4">
      <c r="B4" s="154" t="n"/>
      <c r="C4" s="3" t="inlineStr">
        <is>
          <t>Capital Expenditure (Capex) = Ending PP&amp;E – Beginning PP&amp;E + Depreciation</t>
        </is>
      </c>
    </row>
    <row r="5">
      <c r="B5" s="154" t="n"/>
      <c r="C5" s="3" t="inlineStr">
        <is>
          <t>Tax Growth Rate≈EBITDA Growth Rate</t>
        </is>
      </c>
    </row>
    <row r="6">
      <c r="B6" s="155" t="n"/>
      <c r="C6" s="3" t="inlineStr">
        <is>
          <t>Capital Expenditure (Capex) = Ending PP&amp;E – Beginning PP&amp;E + Depreciation</t>
        </is>
      </c>
    </row>
    <row r="7">
      <c r="C7" s="3" t="n"/>
    </row>
    <row r="8">
      <c r="C8" s="1" t="n">
        <v>2022</v>
      </c>
      <c r="D8" s="1" t="n">
        <v>2023</v>
      </c>
      <c r="E8" s="1" t="n">
        <v>2024</v>
      </c>
    </row>
    <row r="9">
      <c r="B9" t="inlineStr">
        <is>
          <t xml:space="preserve">NET INCOME </t>
        </is>
      </c>
      <c r="C9" s="4" t="n">
        <v>124732624</v>
      </c>
      <c r="D9" s="4" t="n">
        <v>275066458</v>
      </c>
      <c r="E9" s="4" t="n">
        <v>280245234</v>
      </c>
    </row>
    <row r="10">
      <c r="B10" t="inlineStr">
        <is>
          <t>Interest</t>
        </is>
      </c>
      <c r="C10" s="4" t="n">
        <v>85012579</v>
      </c>
      <c r="D10" s="4" t="n">
        <v>89176512</v>
      </c>
      <c r="E10" s="4" t="n">
        <v>92974256</v>
      </c>
    </row>
    <row r="11">
      <c r="B11" t="inlineStr">
        <is>
          <t>TaxExpense</t>
        </is>
      </c>
      <c r="C11" s="4" t="n">
        <v>25330545</v>
      </c>
      <c r="D11" s="4" t="n">
        <v>17764317</v>
      </c>
      <c r="E11" s="4" t="n">
        <v>19082938</v>
      </c>
    </row>
    <row r="12">
      <c r="B12" t="inlineStr">
        <is>
          <t>EBIT</t>
        </is>
      </c>
      <c r="C12" s="13">
        <f>(C9+C10+C11)</f>
        <v/>
      </c>
      <c r="D12" s="13">
        <f>(D9+D10+D11)</f>
        <v/>
      </c>
      <c r="E12" s="13">
        <f>(E9+E10+E11)</f>
        <v/>
      </c>
    </row>
    <row r="13">
      <c r="B13" t="inlineStr">
        <is>
          <t xml:space="preserve">EBIT Growth </t>
        </is>
      </c>
      <c r="C13" s="4" t="n"/>
      <c r="D13" s="8">
        <f>(D12-C12)/C12</f>
        <v/>
      </c>
      <c r="E13" s="8">
        <f>(E12-D12)/D12</f>
        <v/>
      </c>
    </row>
    <row r="14">
      <c r="B14" s="2" t="inlineStr">
        <is>
          <t>EBIT Avg G</t>
        </is>
      </c>
      <c r="C14" s="4" t="n"/>
      <c r="D14" s="8" t="n"/>
      <c r="E14" s="7">
        <f>(D13+E13)/2</f>
        <v/>
      </c>
    </row>
    <row r="15">
      <c r="B15" t="inlineStr">
        <is>
          <t>Dep/Amo</t>
        </is>
      </c>
      <c r="C15" s="13">
        <f>C10+C11</f>
        <v/>
      </c>
      <c r="D15" s="13">
        <f>D10+D11</f>
        <v/>
      </c>
      <c r="E15" s="13">
        <f>E10+E11</f>
        <v/>
      </c>
    </row>
    <row r="16">
      <c r="B16" t="inlineStr">
        <is>
          <t xml:space="preserve">EBITDA </t>
        </is>
      </c>
      <c r="C16" s="13">
        <f>C9+C10+C11+C15</f>
        <v/>
      </c>
      <c r="D16" s="13">
        <f>D9+D10+D11+D15</f>
        <v/>
      </c>
      <c r="E16" s="13">
        <f>E9+E10+E11+E15</f>
        <v/>
      </c>
    </row>
    <row r="17">
      <c r="B17" t="inlineStr">
        <is>
          <t>EBITDA Growth</t>
        </is>
      </c>
      <c r="C17" s="11" t="n"/>
      <c r="D17" s="14">
        <f>(D16-C16)/C16</f>
        <v/>
      </c>
      <c r="E17" s="14">
        <f>(E16-D16)/D16</f>
        <v/>
      </c>
    </row>
    <row r="18">
      <c r="B18" s="2" t="inlineStr">
        <is>
          <t>EBITDA Avg G</t>
        </is>
      </c>
      <c r="E18" s="15">
        <f>(D17+E17)/2</f>
        <v/>
      </c>
    </row>
    <row r="19">
      <c r="B19" s="2" t="inlineStr">
        <is>
          <t xml:space="preserve">Tax growth rate </t>
        </is>
      </c>
      <c r="E19" s="15">
        <f>E18</f>
        <v/>
      </c>
      <c r="F19" s="5" t="inlineStr">
        <is>
          <t>Note*: Tax Growth Rate≈EBITDA Growth Rate</t>
        </is>
      </c>
      <c r="G19" s="5" t="n"/>
      <c r="H19" s="5" t="n"/>
      <c r="I19" s="5" t="n"/>
      <c r="J19" s="5" t="n"/>
    </row>
    <row r="20">
      <c r="E20" s="8" t="n"/>
    </row>
    <row r="21">
      <c r="B21" t="inlineStr">
        <is>
          <t xml:space="preserve">current assests </t>
        </is>
      </c>
      <c r="C21" s="4" t="n">
        <v>1868043822</v>
      </c>
      <c r="D21" s="4" t="n">
        <v>2056499838</v>
      </c>
      <c r="E21" s="4" t="n">
        <v>1959730656</v>
      </c>
    </row>
    <row r="22">
      <c r="B22" t="inlineStr">
        <is>
          <t xml:space="preserve">current liability </t>
        </is>
      </c>
      <c r="C22" s="4" t="n">
        <v>1332923972</v>
      </c>
      <c r="D22" s="4" t="n">
        <v>1518606527</v>
      </c>
      <c r="E22" s="4" t="n">
        <v>1599205280</v>
      </c>
    </row>
    <row r="23">
      <c r="B23" t="inlineStr">
        <is>
          <t>NWC</t>
        </is>
      </c>
      <c r="C23" s="13">
        <f>C21-C22</f>
        <v/>
      </c>
      <c r="D23" s="13">
        <f>D21-D22</f>
        <v/>
      </c>
      <c r="E23" s="13">
        <f>E21-E22</f>
        <v/>
      </c>
    </row>
    <row r="24">
      <c r="B24" t="inlineStr">
        <is>
          <t>Change in NWC</t>
        </is>
      </c>
      <c r="C24" s="13" t="n"/>
      <c r="D24" s="13" t="n"/>
      <c r="E24" s="13">
        <f>E23-D23</f>
        <v/>
      </c>
    </row>
    <row r="25">
      <c r="B25" t="inlineStr">
        <is>
          <t xml:space="preserve">NWC Growth </t>
        </is>
      </c>
      <c r="C25" s="11" t="n"/>
      <c r="D25" s="16">
        <f>(D23-C23)/C23</f>
        <v/>
      </c>
      <c r="E25" s="14">
        <f>(E23-D23)/D23</f>
        <v/>
      </c>
    </row>
    <row r="26">
      <c r="B26" s="2" t="inlineStr">
        <is>
          <t>NWC Avg  Growth</t>
        </is>
      </c>
      <c r="C26" s="11" t="n"/>
      <c r="D26" s="11" t="n"/>
      <c r="E26" s="15">
        <f>(D25+E25)/2</f>
        <v/>
      </c>
    </row>
    <row r="27">
      <c r="E27" s="8" t="n"/>
    </row>
    <row r="29">
      <c r="C29" s="1" t="n">
        <v>2022</v>
      </c>
      <c r="D29" s="1" t="n">
        <v>2023</v>
      </c>
      <c r="E29" s="1" t="n">
        <v>2024</v>
      </c>
    </row>
    <row r="30">
      <c r="B30" t="inlineStr">
        <is>
          <t>DEP OF EQUIP</t>
        </is>
      </c>
      <c r="C30" s="4" t="n">
        <v>161551288</v>
      </c>
      <c r="D30" s="4" t="n">
        <v>162239379</v>
      </c>
      <c r="E30" s="4" t="n">
        <v>160500831</v>
      </c>
    </row>
    <row r="31">
      <c r="B31" t="inlineStr">
        <is>
          <t>DEP OF USE OF ASSEST</t>
        </is>
      </c>
      <c r="C31" s="4" t="n">
        <v>276211946</v>
      </c>
      <c r="D31" s="4" t="n">
        <v>285090168</v>
      </c>
      <c r="E31" s="4" t="n">
        <v>299074701</v>
      </c>
    </row>
    <row r="32">
      <c r="B32" t="inlineStr">
        <is>
          <t>TOTAL DEP/AMO</t>
        </is>
      </c>
      <c r="C32" s="13">
        <f>C30+C31</f>
        <v/>
      </c>
      <c r="D32" s="13">
        <f>D30+D31</f>
        <v/>
      </c>
      <c r="E32" s="13">
        <f>E30+E31</f>
        <v/>
      </c>
      <c r="F32" s="11" t="n"/>
    </row>
    <row r="33">
      <c r="B33" t="inlineStr">
        <is>
          <t xml:space="preserve">Dep/Amo Growth </t>
        </is>
      </c>
      <c r="C33" s="11" t="n"/>
      <c r="D33" s="14">
        <f>(D32-C32)/C32</f>
        <v/>
      </c>
      <c r="E33" s="14">
        <f>(E32-D32)/D32</f>
        <v/>
      </c>
      <c r="F33" s="11" t="n"/>
    </row>
    <row r="34">
      <c r="B34" s="2" t="inlineStr">
        <is>
          <t xml:space="preserve">Dep/Amo Avg Growth </t>
        </is>
      </c>
      <c r="C34" s="11" t="n"/>
      <c r="D34" s="11" t="n"/>
      <c r="E34" s="17">
        <f>(D33+E33)/2</f>
        <v/>
      </c>
      <c r="F34" s="11" t="n"/>
    </row>
    <row r="36">
      <c r="C36" s="1" t="n">
        <v>2022</v>
      </c>
      <c r="D36" s="1" t="n">
        <v>2022</v>
      </c>
      <c r="E36" s="1" t="n">
        <v>2022</v>
      </c>
    </row>
    <row r="37">
      <c r="B37" t="inlineStr">
        <is>
          <t>PPE</t>
        </is>
      </c>
      <c r="C37" s="4" t="n">
        <v>714432584</v>
      </c>
      <c r="D37" s="4" t="n">
        <v>773381888</v>
      </c>
      <c r="E37" s="4" t="n">
        <v>828614382</v>
      </c>
    </row>
    <row r="38">
      <c r="B38" t="inlineStr">
        <is>
          <t xml:space="preserve">Depreciation </t>
        </is>
      </c>
      <c r="C38" s="4">
        <f>C32</f>
        <v/>
      </c>
      <c r="D38" s="4">
        <f>D32</f>
        <v/>
      </c>
      <c r="E38" s="4">
        <f>E32</f>
        <v/>
      </c>
    </row>
    <row r="39">
      <c r="B39" t="inlineStr">
        <is>
          <t>Capex</t>
        </is>
      </c>
      <c r="D39" s="13">
        <f>(D37-C37)+D38</f>
        <v/>
      </c>
      <c r="E39" s="13">
        <f>(E37-D37)+E38</f>
        <v/>
      </c>
    </row>
    <row r="40">
      <c r="B40" s="2" t="inlineStr">
        <is>
          <t>Capex Avg</t>
        </is>
      </c>
      <c r="C40" t="inlineStr">
        <is>
          <t xml:space="preserve"> </t>
        </is>
      </c>
      <c r="D40" s="11" t="n"/>
      <c r="E40" s="15">
        <f>(E39-D39)/D39</f>
        <v/>
      </c>
    </row>
    <row r="42">
      <c r="B42" s="2" t="inlineStr">
        <is>
          <t>WACC</t>
        </is>
      </c>
      <c r="E42" s="9" t="n">
        <v>0.1</v>
      </c>
      <c r="F42" s="10" t="inlineStr">
        <is>
          <t>https://www.aljaziracapital.com.sa/media/3okaylhu/bindawood-investment-update-en.pdf</t>
        </is>
      </c>
    </row>
    <row r="45">
      <c r="B45" s="2" t="inlineStr">
        <is>
          <t>EBITDA Multiple</t>
        </is>
      </c>
      <c r="E45" s="18" t="inlineStr">
        <is>
          <t>10x</t>
        </is>
      </c>
      <c r="F45" s="10" t="inlineStr">
        <is>
          <t>https://www.aljaziracapital.com.sa/media/3okaylhu/bindawood-investment-update-en.pdf</t>
        </is>
      </c>
    </row>
  </sheetData>
  <mergeCells count="1">
    <mergeCell ref="B1:B6"/>
  </mergeCells>
  <hyperlinks>
    <hyperlink xmlns:r="http://schemas.openxmlformats.org/officeDocument/2006/relationships" ref="F42" r:id="rId1"/>
    <hyperlink xmlns:r="http://schemas.openxmlformats.org/officeDocument/2006/relationships" ref="F45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5" sqref="A5"/>
    </sheetView>
  </sheetViews>
  <sheetFormatPr baseColWidth="8" defaultColWidth="8.875" defaultRowHeight="15.75"/>
  <cols>
    <col width="19.5" bestFit="1" customWidth="1" min="1" max="1"/>
    <col width="10.625" customWidth="1" min="2" max="2"/>
    <col width="23.5" bestFit="1" customWidth="1" min="9" max="9"/>
  </cols>
  <sheetData>
    <row r="1">
      <c r="A1" s="2" t="inlineStr">
        <is>
          <t xml:space="preserve">Supportive examples </t>
        </is>
      </c>
    </row>
    <row r="2" ht="31.5" customHeight="1">
      <c r="A2" s="12" t="inlineStr">
        <is>
          <t xml:space="preserve">DCF MODELING 
STEP BY STEP </t>
        </is>
      </c>
      <c r="C2" s="10" t="inlineStr">
        <is>
          <t>https://www.youtube.com/watch?v=Gm0Xn_MidZ8&amp;t=585s</t>
        </is>
      </c>
      <c r="I2" t="inlineStr">
        <is>
          <t>Very important step by step</t>
        </is>
      </c>
    </row>
    <row r="3">
      <c r="A3" t="inlineStr">
        <is>
          <t xml:space="preserve">EBITDA </t>
        </is>
      </c>
      <c r="C3" s="10" t="inlineStr">
        <is>
          <t>https://www.youtube.com/watch?v=9oHbN90h_HU</t>
        </is>
      </c>
    </row>
    <row r="4">
      <c r="A4" t="inlineStr">
        <is>
          <t xml:space="preserve">Upside potential </t>
        </is>
      </c>
      <c r="C4" s="10" t="inlineStr">
        <is>
          <t>https://www.investing.com/equities/bindawood-holding-co</t>
        </is>
      </c>
    </row>
    <row r="5">
      <c r="A5" t="inlineStr">
        <is>
          <t xml:space="preserve">Price target </t>
        </is>
      </c>
      <c r="C5" s="10" t="inlineStr">
        <is>
          <t>https://www.tradingview.com/symbols/TADAWUL-4161/forecast/</t>
        </is>
      </c>
    </row>
    <row r="6">
      <c r="A6" t="inlineStr">
        <is>
          <t>Analyst recommendation</t>
        </is>
      </c>
      <c r="C6" s="10" t="inlineStr">
        <is>
          <t>https://www.argaam.com/en/tadawul/tasi/bindawood</t>
        </is>
      </c>
    </row>
    <row r="7">
      <c r="A7" t="inlineStr">
        <is>
          <t>WACC REPORT</t>
        </is>
      </c>
      <c r="C7" s="10" t="inlineStr">
        <is>
          <t>https://www.aljaziracapital.com.sa/media/3okaylhu/bindawood-investment-update-en.pdf</t>
        </is>
      </c>
    </row>
    <row r="9">
      <c r="A9" t="inlineStr">
        <is>
          <t xml:space="preserve">Rating termonology 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" right="0.7" top="0.75" bottom="0.75" header="0.3" footer="0.3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Waleed Rafi;Ibrahim AlSedrah</dc:creator>
  <dcterms:created xmlns:dcterms="http://purl.org/dc/terms/" xmlns:xsi="http://www.w3.org/2001/XMLSchema-instance" xsi:type="dcterms:W3CDTF">2020-06-15T21:06:29Z</dcterms:created>
  <dcterms:modified xmlns:dcterms="http://purl.org/dc/terms/" xmlns:xsi="http://www.w3.org/2001/XMLSchema-instance" xsi:type="dcterms:W3CDTF">2026-04-24T13:10:17Z</dcterms:modified>
  <cp:lastModifiedBy>Waleed Rafi</cp:lastModifiedBy>
</cp:coreProperties>
</file>

<file path=docProps/custom.xml><?xml version="1.0" encoding="utf-8"?>
<Properties xmlns="http://schemas.openxmlformats.org/officeDocument/2006/custom-properties">
  <property name="MSIP_Label_b196578f-6ae1-40cd-93dd-1a3b7a6ede66_Enabled" fmtid="{D5CDD505-2E9C-101B-9397-08002B2CF9AE}" pid="2">
    <vt:lpwstr xmlns:vt="http://schemas.openxmlformats.org/officeDocument/2006/docPropsVTypes">true</vt:lpwstr>
  </property>
  <property name="MSIP_Label_b196578f-6ae1-40cd-93dd-1a3b7a6ede66_SetDate" fmtid="{D5CDD505-2E9C-101B-9397-08002B2CF9AE}" pid="3">
    <vt:lpwstr xmlns:vt="http://schemas.openxmlformats.org/officeDocument/2006/docPropsVTypes">2026-02-10T07:55:23Z</vt:lpwstr>
  </property>
  <property name="MSIP_Label_b196578f-6ae1-40cd-93dd-1a3b7a6ede66_Method" fmtid="{D5CDD505-2E9C-101B-9397-08002B2CF9AE}" pid="4">
    <vt:lpwstr xmlns:vt="http://schemas.openxmlformats.org/officeDocument/2006/docPropsVTypes">Standard</vt:lpwstr>
  </property>
  <property name="MSIP_Label_b196578f-6ae1-40cd-93dd-1a3b7a6ede66_Name" fmtid="{D5CDD505-2E9C-101B-9397-08002B2CF9AE}" pid="5">
    <vt:lpwstr xmlns:vt="http://schemas.openxmlformats.org/officeDocument/2006/docPropsVTypes">Public - عام</vt:lpwstr>
  </property>
  <property name="MSIP_Label_b196578f-6ae1-40cd-93dd-1a3b7a6ede66_SiteId" fmtid="{D5CDD505-2E9C-101B-9397-08002B2CF9AE}" pid="6">
    <vt:lpwstr xmlns:vt="http://schemas.openxmlformats.org/officeDocument/2006/docPropsVTypes">2c86bbfc-8d04-41ff-a83a-942f075e0f60</vt:lpwstr>
  </property>
  <property name="MSIP_Label_b196578f-6ae1-40cd-93dd-1a3b7a6ede66_ActionId" fmtid="{D5CDD505-2E9C-101B-9397-08002B2CF9AE}" pid="7">
    <vt:lpwstr xmlns:vt="http://schemas.openxmlformats.org/officeDocument/2006/docPropsVTypes">2ea249de-627a-43c5-80ea-bbcad95bb8d6</vt:lpwstr>
  </property>
  <property name="MSIP_Label_b196578f-6ae1-40cd-93dd-1a3b7a6ede66_ContentBits" fmtid="{D5CDD505-2E9C-101B-9397-08002B2CF9AE}" pid="8">
    <vt:lpwstr xmlns:vt="http://schemas.openxmlformats.org/officeDocument/2006/docPropsVTypes">0</vt:lpwstr>
  </property>
  <property name="MSIP_Label_b196578f-6ae1-40cd-93dd-1a3b7a6ede66_Tag" fmtid="{D5CDD505-2E9C-101B-9397-08002B2CF9AE}" pid="9">
    <vt:lpwstr xmlns:vt="http://schemas.openxmlformats.org/officeDocument/2006/docPropsVTypes">10, 3, 0, 1</vt:lpwstr>
  </property>
</Properties>
</file>